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ortfolio" sheetId="2" state="visible" r:id="rId2"/>
    <sheet name="Transactions" sheetId="3" state="visible" r:id="rId3"/>
    <sheet name="Watchlist" sheetId="4" state="visible" r:id="rId4"/>
    <sheet name="Universe" sheetId="5" state="visible" r:id="rId5"/>
    <sheet name="Investment Thesis" sheetId="6" state="visible" r:id="rId6"/>
    <sheet name="Pending Orders" sheetId="7" state="visible" r:id="rId7"/>
    <sheet name="Settings" sheetId="8" state="visible" r:id="rId8"/>
    <sheet name="Notes" sheetId="9" state="visible" r:id="rId9"/>
    <sheet name="Manual Data" sheetId="10" state="visible" r:id="rId10"/>
    <sheet name="_MarketCache" sheetId="11" state="hidden" r:id="rId11"/>
    <sheet name="_ValueHistory" sheetId="12" state="hidden"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color rgb="001F6E63"/>
      <sz val="18"/>
    </font>
    <font>
      <i val="1"/>
      <color rgb="005C6669"/>
      <sz val="9"/>
    </font>
    <font>
      <b val="1"/>
      <color rgb="001F6E63"/>
      <sz val="14"/>
    </font>
    <font>
      <b val="1"/>
      <sz val="12"/>
    </font>
    <font>
      <b val="1"/>
    </font>
    <font>
      <i val="1"/>
      <color rgb="008FA09D"/>
      <sz val="9"/>
    </font>
  </fonts>
  <fills count="8">
    <fill>
      <patternFill/>
    </fill>
    <fill>
      <patternFill patternType="gray125"/>
    </fill>
    <fill>
      <patternFill patternType="solid">
        <fgColor rgb="001F6E63"/>
        <bgColor rgb="001F6E63"/>
      </patternFill>
    </fill>
    <fill>
      <patternFill patternType="solid">
        <fgColor rgb="00DCEBF7"/>
        <bgColor rgb="00DCEBF7"/>
      </patternFill>
    </fill>
    <fill>
      <patternFill patternType="solid">
        <fgColor rgb="00E2F0D9"/>
        <bgColor rgb="00E2F0D9"/>
      </patternFill>
    </fill>
    <fill>
      <patternFill patternType="solid">
        <fgColor rgb="00FCE4D6"/>
        <bgColor rgb="00FCE4D6"/>
      </patternFill>
    </fill>
    <fill>
      <patternFill patternType="solid">
        <fgColor rgb="00F2F2F2"/>
        <bgColor rgb="00F2F2F2"/>
      </patternFill>
    </fill>
    <fill>
      <patternFill patternType="solid">
        <fgColor rgb="00E6DCF7"/>
        <bgColor rgb="00E6DCF7"/>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horizontal="left"/>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dxfs count="5">
    <dxf>
      <fill>
        <patternFill patternType="solid">
          <fgColor rgb="00DCEBF7"/>
          <bgColor rgb="00DCEBF7"/>
        </patternFill>
      </fill>
    </dxf>
    <dxf>
      <fill>
        <patternFill patternType="solid">
          <fgColor rgb="00E2F0D9"/>
          <bgColor rgb="00E2F0D9"/>
        </patternFill>
      </fill>
    </dxf>
    <dxf>
      <fill>
        <patternFill patternType="solid">
          <fgColor rgb="00FCE4D6"/>
          <bgColor rgb="00FCE4D6"/>
        </patternFill>
      </fill>
    </dxf>
    <dxf>
      <fill>
        <patternFill patternType="solid">
          <fgColor rgb="00F2F2F2"/>
          <bgColor rgb="00F2F2F2"/>
        </patternFill>
      </fill>
    </dxf>
    <dxf>
      <fill>
        <patternFill patternType="solid">
          <fgColor rgb="00E6DCF7"/>
          <bgColor rgb="00E6DC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Total portfolio value (SEK)</a:t>
            </a:r>
          </a:p>
        </rich>
      </tx>
    </title>
    <plotArea>
      <lineChart>
        <grouping val="standard"/>
        <ser>
          <idx val="0"/>
          <order val="0"/>
          <tx>
            <strRef>
              <f>'_ValueHistory'!B1</f>
            </strRef>
          </tx>
          <spPr>
            <a:ln>
              <a:prstDash val="solid"/>
            </a:ln>
          </spPr>
          <marker>
            <symbol val="none"/>
            <spPr>
              <a:ln>
                <a:prstDash val="solid"/>
              </a:ln>
            </spPr>
          </marker>
          <cat>
            <numRef>
              <f>'_ValueHistory'!$A$2:$A$200</f>
            </numRef>
          </cat>
          <val>
            <numRef>
              <f>'_ValueHistory'!$B$2:$B$200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SEK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29</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49"/>
  <sheetViews>
    <sheetView showGridLines="0" workbookViewId="0">
      <selection activeCell="A1" sqref="A1"/>
    </sheetView>
  </sheetViews>
  <sheetFormatPr baseColWidth="8" defaultRowHeight="15"/>
  <cols>
    <col width="32" customWidth="1" min="1" max="1"/>
    <col width="18" customWidth="1" min="2" max="2"/>
    <col width="40" customWidth="1" min="3" max="3"/>
  </cols>
  <sheetData>
    <row r="1">
      <c r="A1" s="1" t="inlineStr">
        <is>
          <t>Finance Council — Dashboard</t>
        </is>
      </c>
    </row>
    <row r="2">
      <c r="A2" s="2" t="inlineStr">
        <is>
          <t>Computed from Portfolio + _MarketCache. Never edit this sheet by hand.</t>
        </is>
      </c>
    </row>
    <row r="4">
      <c r="A4" s="3" t="inlineStr">
        <is>
          <t>PORTFOLIO TOTAL</t>
        </is>
      </c>
    </row>
    <row r="5">
      <c r="A5" s="4" t="inlineStr">
        <is>
          <t>Total value (SEK)</t>
        </is>
      </c>
      <c r="B5">
        <f>SUMPRODUCT((Portfolio!A2:A1000&lt;&gt;"TBD")*Portfolio!J2:J1000*IFERROR(VLOOKUP(Portfolio!A2:A1000,_MarketCache!A:E,5,0),0))+SUMIF(Portfolio!A2:A1000,"TBD",Portfolio!L2:L1000)</f>
        <v/>
      </c>
      <c r="C5" s="2" t="inlineStr">
        <is>
          <t>Sum of each holding's quantity x current price (from _MarketCache), plus cost basis for unlisted funds (never get a live price)</t>
        </is>
      </c>
    </row>
    <row r="7">
      <c r="A7" s="3" t="inlineStr">
        <is>
          <t>RISK TIER BREAKDOWN</t>
        </is>
      </c>
    </row>
    <row r="8">
      <c r="A8" s="5" t="inlineStr">
        <is>
          <t>Tier</t>
        </is>
      </c>
      <c r="B8" s="5" t="inlineStr">
        <is>
          <t>Value (SEK)</t>
        </is>
      </c>
      <c r="C8" s="5" t="inlineStr">
        <is>
          <t>Target %</t>
        </is>
      </c>
    </row>
    <row r="9">
      <c r="A9" t="inlineStr">
        <is>
          <t>Secure</t>
        </is>
      </c>
      <c r="B9">
        <f>(SUMPRODUCT((Portfolio!H2:H1000="secure")*(Portfolio!A2:A1000&lt;&gt;"TBD")*Portfolio!J2:J1000*IFERROR(VLOOKUP(Portfolio!A2:A1000,_MarketCache!A:E,5,0),0))+SUMIFS(Portfolio!L2:L1000,Portfolio!H2:H1000,"secure",Portfolio!A2:A1000,"TBD"))/$B$5</f>
        <v/>
      </c>
      <c r="C9" t="inlineStr">
        <is>
          <t>60%</t>
        </is>
      </c>
    </row>
    <row r="10">
      <c r="A10" t="inlineStr">
        <is>
          <t>Medium</t>
        </is>
      </c>
      <c r="B10">
        <f>(SUMPRODUCT((Portfolio!H2:H1000="medium")*(Portfolio!A2:A1000&lt;&gt;"TBD")*Portfolio!J2:J1000*IFERROR(VLOOKUP(Portfolio!A2:A1000,_MarketCache!A:E,5,0),0))+SUMIFS(Portfolio!L2:L1000,Portfolio!H2:H1000,"medium",Portfolio!A2:A1000,"TBD"))/$B$5</f>
        <v/>
      </c>
      <c r="C10" t="inlineStr">
        <is>
          <t>30%</t>
        </is>
      </c>
    </row>
    <row r="11">
      <c r="A11" t="inlineStr">
        <is>
          <t>High-risk</t>
        </is>
      </c>
      <c r="B11">
        <f>(SUMPRODUCT((Portfolio!H2:H1000="high")*(Portfolio!A2:A1000&lt;&gt;"TBD")*Portfolio!J2:J1000*IFERROR(VLOOKUP(Portfolio!A2:A1000,_MarketCache!A:E,5,0),0))+SUMIFS(Portfolio!L2:L1000,Portfolio!H2:H1000,"high",Portfolio!A2:A1000,"TBD"))/$B$5</f>
        <v/>
      </c>
      <c r="C11" t="inlineStr">
        <is>
          <t>10%</t>
        </is>
      </c>
    </row>
    <row r="13">
      <c r="A13" s="3" t="inlineStr">
        <is>
          <t>FEE DRAG</t>
        </is>
      </c>
    </row>
    <row r="14">
      <c r="A14" s="4" t="inlineStr">
        <is>
          <t>Total annual fees (SEK/yr)</t>
        </is>
      </c>
      <c r="B14">
        <f>SUMPRODUCT((Portfolio!A2:A1000&lt;&gt;"TBD")*Portfolio!M2:M1000/100*Portfolio!J2:J1000*IFERROR(VLOOKUP(Portfolio!A2:A1000,_MarketCache!A:E,5,0),0))+SUMPRODUCT((Portfolio!A2:A1000="TBD")*Portfolio!M2:M1000/100*Portfolio!L2:L1000)</f>
        <v/>
      </c>
      <c r="C14" s="2" t="inlineStr">
        <is>
          <t>Sum of annual_fee_pct x market value per holding (cost basis for unlisted funds)</t>
        </is>
      </c>
    </row>
    <row r="16">
      <c r="A16" s="3" t="inlineStr">
        <is>
          <t>DATA FRESHNESS</t>
        </is>
      </c>
    </row>
    <row r="17">
      <c r="A17" s="4" t="inlineStr">
        <is>
          <t>Last sync</t>
        </is>
      </c>
      <c r="B17" t="inlineStr">
        <is>
          <t>(set by run.py sync)</t>
        </is>
      </c>
    </row>
    <row r="19">
      <c r="A19" s="3" t="inlineStr">
        <is>
          <t>BY TYPE</t>
        </is>
      </c>
    </row>
    <row r="20">
      <c r="A20" s="5" t="inlineStr">
        <is>
          <t>Type</t>
        </is>
      </c>
      <c r="B20" s="5" t="inlineStr">
        <is>
          <t>Value (SEK)</t>
        </is>
      </c>
      <c r="C20" s="5" t="inlineStr">
        <is>
          <t>Count</t>
        </is>
      </c>
    </row>
    <row r="21">
      <c r="A21" s="8" t="inlineStr">
        <is>
          <t>Stocks</t>
        </is>
      </c>
      <c r="B21">
        <f>SUMPRODUCT((Portfolio!F2:F1000="stock")*(Portfolio!A2:A1000&lt;&gt;"TBD")*Portfolio!J2:J1000*IFERROR(VLOOKUP(Portfolio!A2:A1000,_MarketCache!A:E,5,0),0))+SUMIFS(Portfolio!L2:L1000,Portfolio!F2:F1000,"stock",Portfolio!A2:A1000,"TBD")</f>
        <v/>
      </c>
      <c r="C21">
        <f>COUNTIF(Portfolio!F2:F1000,"stock")</f>
        <v/>
      </c>
    </row>
    <row r="22">
      <c r="A22" s="9" t="inlineStr">
        <is>
          <t>Funds</t>
        </is>
      </c>
      <c r="B22">
        <f>SUMPRODUCT((Portfolio!F2:F1000="fund")*(Portfolio!A2:A1000&lt;&gt;"TBD")*Portfolio!J2:J1000*IFERROR(VLOOKUP(Portfolio!A2:A1000,_MarketCache!A:E,5,0),0))+SUMIFS(Portfolio!L2:L1000,Portfolio!F2:F1000,"fund",Portfolio!A2:A1000,"TBD")</f>
        <v/>
      </c>
      <c r="C22">
        <f>COUNTIF(Portfolio!F2:F1000,"fund")</f>
        <v/>
      </c>
    </row>
    <row r="23">
      <c r="A23" s="10" t="inlineStr">
        <is>
          <t>Certificates</t>
        </is>
      </c>
      <c r="B23">
        <f>SUMPRODUCT((Portfolio!F2:F1000="certificate")*(Portfolio!A2:A1000&lt;&gt;"TBD")*Portfolio!J2:J1000*IFERROR(VLOOKUP(Portfolio!A2:A1000,_MarketCache!A:E,5,0),0))+SUMIFS(Portfolio!L2:L1000,Portfolio!F2:F1000,"certificate",Portfolio!A2:A1000,"TBD")</f>
        <v/>
      </c>
      <c r="C23">
        <f>COUNTIF(Portfolio!F2:F1000,"certificate")</f>
        <v/>
      </c>
    </row>
    <row r="24">
      <c r="A24" s="11" t="inlineStr">
        <is>
          <t>Cash</t>
        </is>
      </c>
      <c r="B24">
        <f>SUMPRODUCT((Portfolio!F2:F1000="cash")*(Portfolio!A2:A1000&lt;&gt;"TBD")*Portfolio!J2:J1000*IFERROR(VLOOKUP(Portfolio!A2:A1000,_MarketCache!A:E,5,0),0))+SUMIFS(Portfolio!L2:L1000,Portfolio!F2:F1000,"cash",Portfolio!A2:A1000,"TBD")</f>
        <v/>
      </c>
      <c r="C24">
        <f>COUNTIF(Portfolio!F2:F1000,"cash")</f>
        <v/>
      </c>
    </row>
    <row r="25">
      <c r="A25" s="12" t="inlineStr">
        <is>
          <t>Crypto</t>
        </is>
      </c>
      <c r="B25">
        <f>SUMPRODUCT((Portfolio!F2:F1000="spot_crypto")*(Portfolio!A2:A1000&lt;&gt;"TBD")*Portfolio!J2:J1000*IFERROR(VLOOKUP(Portfolio!A2:A1000,_MarketCache!A:E,5,0),0))+SUMIFS(Portfolio!L2:L1000,Portfolio!F2:F1000,"spot_crypto",Portfolio!A2:A1000,"TBD")</f>
        <v/>
      </c>
      <c r="C25">
        <f>COUNTIF(Portfolio!F2:F1000,"spot_crypto")</f>
        <v/>
      </c>
    </row>
    <row r="27">
      <c r="A27" s="3" t="inlineStr">
        <is>
          <t>PERFORMANCE OVER TIME</t>
        </is>
      </c>
    </row>
    <row r="28">
      <c r="A28" s="2" t="inlineStr">
        <is>
          <t>See chart below — logged automatically by `run.py fetch` into the hidden _ValueHistory sheet each time it runs.</t>
        </is>
      </c>
    </row>
    <row r="49">
      <c r="A49" s="6" t="inlineStr">
        <is>
          <t>Add new KPIs below this line — this sheet is designed to grow.</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7" customWidth="1" min="6" max="6"/>
    <col width="16" customWidth="1" min="7" max="7"/>
    <col width="14" customWidth="1" min="8" max="8"/>
    <col width="14" customWidth="1" min="9" max="9"/>
    <col width="14" customWidth="1" min="10" max="10"/>
    <col width="21" customWidth="1" min="11" max="11"/>
    <col width="22" customWidth="1" min="12" max="12"/>
    <col width="16" customWidth="1" min="13" max="13"/>
    <col width="15" customWidth="1" min="14" max="14"/>
    <col width="18" customWidth="1" min="15" max="15"/>
    <col width="14" customWidth="1" min="16" max="16"/>
  </cols>
  <sheetData>
    <row r="1">
      <c r="A1" s="7" t="inlineStr">
        <is>
          <t>ticker</t>
        </is>
      </c>
      <c r="B1" s="7" t="inlineStr">
        <is>
          <t>name</t>
        </is>
      </c>
      <c r="C1" s="7" t="inlineStr">
        <is>
          <t>account_id</t>
        </is>
      </c>
      <c r="D1" s="7" t="inlineStr">
        <is>
          <t>institution</t>
        </is>
      </c>
      <c r="E1" s="7" t="inlineStr">
        <is>
          <t>wrapper</t>
        </is>
      </c>
      <c r="F1" s="7" t="inlineStr">
        <is>
          <t>instrument_type</t>
        </is>
      </c>
      <c r="G1" s="7" t="inlineStr">
        <is>
          <t>exposure_class</t>
        </is>
      </c>
      <c r="H1" s="7" t="inlineStr">
        <is>
          <t>risk_tier</t>
        </is>
      </c>
      <c r="I1" s="7" t="inlineStr">
        <is>
          <t>currency</t>
        </is>
      </c>
      <c r="J1" s="7" t="inlineStr">
        <is>
          <t>quantity</t>
        </is>
      </c>
      <c r="K1" s="7" t="inlineStr">
        <is>
          <t>cost_basis_per_unit</t>
        </is>
      </c>
      <c r="L1" s="7" t="inlineStr">
        <is>
          <t>cost_basis_total_sek</t>
        </is>
      </c>
      <c r="M1" s="7" t="inlineStr">
        <is>
          <t>annual_fee_pct</t>
        </is>
      </c>
      <c r="N1" s="7" t="inlineStr">
        <is>
          <t>date_acquired</t>
        </is>
      </c>
      <c r="O1" s="7" t="inlineStr">
        <is>
          <t>no_ticker_reason</t>
        </is>
      </c>
      <c r="P1" s="7" t="inlineStr">
        <is>
          <t>notes</t>
        </is>
      </c>
    </row>
    <row r="2">
      <c r="A2" t="inlineStr">
        <is>
          <t>CASH_SEK</t>
        </is>
      </c>
      <c r="B2" t="inlineStr">
        <is>
          <t>Tax-reserve sparkonto (2027 deklaration - confirmed HB + SEB capital-gains tax)</t>
        </is>
      </c>
      <c r="C2" t="inlineStr">
        <is>
          <t>hb-main</t>
        </is>
      </c>
      <c r="D2" t="inlineStr">
        <is>
          <t>Handelsbanken</t>
        </is>
      </c>
      <c r="E2" t="inlineStr">
        <is>
          <t>SPARKONTO</t>
        </is>
      </c>
      <c r="F2" t="inlineStr">
        <is>
          <t>cash</t>
        </is>
      </c>
      <c r="G2" t="inlineStr">
        <is>
          <t>cash</t>
        </is>
      </c>
      <c r="H2" t="inlineStr">
        <is>
          <t>cash</t>
        </is>
      </c>
      <c r="I2" t="inlineStr">
        <is>
          <t>SEK</t>
        </is>
      </c>
      <c r="J2" t="n">
        <v>9017</v>
      </c>
      <c r="N2" t="inlineStr">
        <is>
          <t>2026-07-20</t>
        </is>
      </c>
      <c r="P2" t="inlineStr">
        <is>
          <t>Not an investment - deliberate tax reserve, not deployable. Combined confirmed tax owed is 11,493.28 SEK (8,455.86 HB + 3,037.42 SEB, both confirmed, see seb-fund.confirmed_tax_owed_sek). Current bala…see Investment Thesis sheet</t>
        </is>
      </c>
    </row>
    <row r="3">
      <c r="A3" t="inlineStr">
        <is>
          <t>CASH_SEK</t>
        </is>
      </c>
      <c r="B3" t="inlineStr">
        <is>
          <t>Handelsbanken normal/checking account</t>
        </is>
      </c>
      <c r="C3" t="inlineStr">
        <is>
          <t>hb-checking</t>
        </is>
      </c>
      <c r="D3" t="inlineStr">
        <is>
          <t>Handelsbanken</t>
        </is>
      </c>
      <c r="E3" t="inlineStr">
        <is>
          <t>NONE</t>
        </is>
      </c>
      <c r="F3" t="inlineStr">
        <is>
          <t>cash</t>
        </is>
      </c>
      <c r="G3" t="inlineStr">
        <is>
          <t>cash</t>
        </is>
      </c>
      <c r="H3" t="inlineStr">
        <is>
          <t>cash</t>
        </is>
      </c>
      <c r="I3" t="inlineStr">
        <is>
          <t>SEK</t>
        </is>
      </c>
      <c r="J3" t="n">
        <v>611</v>
      </c>
      <c r="N3" t="inlineStr">
        <is>
          <t>2026-07-22</t>
        </is>
      </c>
      <c r="P3" t="inlineStr">
        <is>
          <t>Not an investment - ordinary transaction/checking cash, newly disclosed 2026-07-22. Not part of any glidepath or risk-tier target.…see Investment Thesis sheet</t>
        </is>
      </c>
    </row>
    <row r="4">
      <c r="A4" t="inlineStr">
        <is>
          <t>CASH_SEK</t>
        </is>
      </c>
      <c r="B4" t="inlineStr">
        <is>
          <t>Avanza ISK available cash</t>
        </is>
      </c>
      <c r="C4" t="inlineStr">
        <is>
          <t>avanza-isk</t>
        </is>
      </c>
      <c r="D4" t="inlineStr">
        <is>
          <t>Avanza</t>
        </is>
      </c>
      <c r="E4" t="inlineStr">
        <is>
          <t>ISK</t>
        </is>
      </c>
      <c r="F4" t="inlineStr">
        <is>
          <t>cash</t>
        </is>
      </c>
      <c r="G4" t="inlineStr">
        <is>
          <t>cash</t>
        </is>
      </c>
      <c r="H4" t="inlineStr">
        <is>
          <t>cash</t>
        </is>
      </c>
      <c r="I4" t="inlineStr">
        <is>
          <t>SEK</t>
        </is>
      </c>
      <c r="J4" t="n">
        <v>26399.86</v>
      </c>
      <c r="K4" t="n">
        <v>129.25</v>
      </c>
      <c r="N4" t="inlineStr">
        <is>
          <t>2026-07-29</t>
        </is>
      </c>
      <c r="P4" t="inlineStr">
        <is>
          <t>Not an investment - uninvested cash. RECONCILED 2026-07-29: prior 144,864 SEK (confirmed 2026-07-22) minus the 119,999 SEK Avanza Global purchase plus the 1,534.86 SEK Tundra sale proceeds = 26,399.86…see Investment Thesis sheet</t>
        </is>
      </c>
    </row>
    <row r="5">
      <c r="A5" t="inlineStr">
        <is>
          <t>CASH_SEK</t>
        </is>
      </c>
      <c r="B5" t="inlineStr">
        <is>
          <t>SEB fund proceeds - fully transferred to Avanza ISK 2026-07-20</t>
        </is>
      </c>
      <c r="C5" t="inlineStr">
        <is>
          <t>seb-fund</t>
        </is>
      </c>
      <c r="D5" t="inlineStr">
        <is>
          <t>SEB</t>
        </is>
      </c>
      <c r="E5" t="inlineStr">
        <is>
          <t>AF</t>
        </is>
      </c>
      <c r="F5" t="inlineStr">
        <is>
          <t>cash</t>
        </is>
      </c>
      <c r="G5" t="inlineStr">
        <is>
          <t>cash</t>
        </is>
      </c>
      <c r="H5" t="inlineStr">
        <is>
          <t>cash</t>
        </is>
      </c>
      <c r="I5" t="inlineStr">
        <is>
          <t>SEK</t>
        </is>
      </c>
      <c r="J5" t="n">
        <v>0</v>
      </c>
      <c r="K5" t="n">
        <v>290.22</v>
      </c>
      <c r="N5" t="inlineStr">
        <is>
          <t>2026-07-12</t>
        </is>
      </c>
      <c r="P5" t="inlineStr">
        <is>
          <t>Not an investment. Full 17,382.43 SEK transferred to Avanza ISK 2026-07-20 (see avanza-isk cash holding). Realized gain still unknown - open question 4 not closed by this transfer, only the practical …see Investment Thesis sheet</t>
        </is>
      </c>
    </row>
    <row r="6">
      <c r="A6" t="inlineStr">
        <is>
          <t>CASH_USD</t>
        </is>
      </c>
      <c r="B6" t="inlineStr">
        <is>
          <t>PayPal USD balance</t>
        </is>
      </c>
      <c r="C6" t="inlineStr">
        <is>
          <t>paypal</t>
        </is>
      </c>
      <c r="D6" t="inlineStr">
        <is>
          <t>PayPal</t>
        </is>
      </c>
      <c r="E6" t="inlineStr">
        <is>
          <t>PAYPAL_BALANCE</t>
        </is>
      </c>
      <c r="F6" t="inlineStr">
        <is>
          <t>cash</t>
        </is>
      </c>
      <c r="G6" t="inlineStr">
        <is>
          <t>cash</t>
        </is>
      </c>
      <c r="H6" t="inlineStr">
        <is>
          <t>cash</t>
        </is>
      </c>
      <c r="I6" t="inlineStr">
        <is>
          <t>USD</t>
        </is>
      </c>
      <c r="J6" t="n">
        <v>1177.49</v>
      </c>
      <c r="L6" t="n">
        <v>9800.299999999999</v>
      </c>
      <c r="M6" t="n">
        <v>0.39</v>
      </c>
      <c r="O6" t="inlineStr">
        <is>
          <t>UNLISTED FUND (user-confirmed 2026-07-31) - Avanza Auto 3 exists only on Avanza's own fund platform, not on a public exchange. No ticker/ISIN will ever resolve for it via Yahoo/SEC or any exchange-based fetch. This is PERMANENT, not a data gap awaiting a fix - do not keep re-flagging it as an open item each sweep.</t>
        </is>
      </c>
      <c r="P6" t="inlineStr">
        <is>
          <t>Not an investment - idle payment-platform balance from incoming payments. Sits outside any wrapper, earns nothing, and is exposed to PayPal's conversion spread on any USD-&gt;SEK move. Needs a routing de…see Investment Thesis sheet</t>
        </is>
      </c>
    </row>
    <row r="7">
      <c r="A7" t="inlineStr">
        <is>
          <t>CASH_EUR</t>
        </is>
      </c>
      <c r="B7" t="inlineStr">
        <is>
          <t>PayPal EUR balance</t>
        </is>
      </c>
      <c r="C7" t="inlineStr">
        <is>
          <t>paypal</t>
        </is>
      </c>
      <c r="D7" t="inlineStr">
        <is>
          <t>PayPal</t>
        </is>
      </c>
      <c r="E7" t="inlineStr">
        <is>
          <t>PAYPAL_BALANCE</t>
        </is>
      </c>
      <c r="F7" t="inlineStr">
        <is>
          <t>cash</t>
        </is>
      </c>
      <c r="G7" t="inlineStr">
        <is>
          <t>cash</t>
        </is>
      </c>
      <c r="H7" t="inlineStr">
        <is>
          <t>cash</t>
        </is>
      </c>
      <c r="I7" t="inlineStr">
        <is>
          <t>EUR</t>
        </is>
      </c>
      <c r="J7" t="n">
        <v>266.88</v>
      </c>
      <c r="L7" t="n">
        <v>1000</v>
      </c>
      <c r="M7" t="n">
        <v>2.6</v>
      </c>
      <c r="P7" t="inlineStr">
        <is>
          <t>Not an investment - idle payment-platform balance. Recurring EUR inflow (~750-1000 EUR / ~2mo) lands here - same routing decision as the USD balance applies, and matters more given the recurring caden…see Investment Thesis sheet</t>
        </is>
      </c>
    </row>
    <row r="8">
      <c r="A8" t="inlineStr">
        <is>
          <t>COIN-XBT.ST</t>
        </is>
      </c>
      <c r="B8" t="inlineStr">
        <is>
          <t>CoinShares XBT Provider Bitcoin Tracker One (certificate)</t>
        </is>
      </c>
      <c r="C8" t="inlineStr">
        <is>
          <t>avanza-isk</t>
        </is>
      </c>
      <c r="D8" t="inlineStr">
        <is>
          <t>Avanza</t>
        </is>
      </c>
      <c r="E8" t="inlineStr">
        <is>
          <t>ISK</t>
        </is>
      </c>
      <c r="F8" t="inlineStr">
        <is>
          <t>certificate</t>
        </is>
      </c>
      <c r="G8" t="inlineStr">
        <is>
          <t>crypto</t>
        </is>
      </c>
      <c r="H8" t="inlineStr">
        <is>
          <t>high</t>
        </is>
      </c>
      <c r="J8" t="n">
        <v>6</v>
      </c>
      <c r="K8" t="n">
        <v>2016.67</v>
      </c>
      <c r="M8" t="n">
        <v>2.5</v>
      </c>
      <c r="P8" t="inlineStr">
        <is>
          <t>SEE ALSO open question 19 (2026-07-31): a candidate fee-drag switch to Valour Bitcoin Zero SEK (0% mgmt fee vs this certificate's 2.5-3.64%) is under evaluation - would preserve full BTC exposure (com…see Investment Thesis sheet</t>
        </is>
      </c>
    </row>
    <row r="9">
      <c r="A9" t="inlineStr">
        <is>
          <t>TBD</t>
        </is>
      </c>
      <c r="B9" t="inlineStr">
        <is>
          <t>Avanza Auto 3 (fund)</t>
        </is>
      </c>
      <c r="C9" t="inlineStr">
        <is>
          <t>avanza-isk</t>
        </is>
      </c>
      <c r="D9" t="inlineStr">
        <is>
          <t>Avanza</t>
        </is>
      </c>
      <c r="E9" t="inlineStr">
        <is>
          <t>ISK</t>
        </is>
      </c>
      <c r="F9" t="inlineStr">
        <is>
          <t>fund</t>
        </is>
      </c>
      <c r="G9" t="inlineStr">
        <is>
          <t>mixed</t>
        </is>
      </c>
      <c r="H9" t="inlineStr">
        <is>
          <t>secure</t>
        </is>
      </c>
      <c r="L9" t="n">
        <v>9800.299999999999</v>
      </c>
      <c r="M9" t="n">
        <v>0.39</v>
      </c>
      <c r="N9" t="inlineStr">
        <is>
          <t>2026-07-29 (approximate - user reported the purchase 2026-07-29 as having happened 'a couple of days ago'; exact trade date not yet confirmed)</t>
        </is>
      </c>
      <c r="O9" t="inlineStr">
        <is>
          <t>UNLISTED FUND (user-confirmed 2026-07-31) - Avanza Auto 3 exists only on Avanza's own fund platform, not on a public exchange. No ticker/ISIN will ever resolve for it via Yahoo/SEC or any exchange-based fetch. This is PERMANENT, not a data gap awaiting a fix - do not keep re-flagging it as an open item each sweep.</t>
        </is>
      </c>
      <c r="P9" t="inlineStr">
        <is>
          <t>CONFIRMED from factsheet 2026-07-22: multi-asset fund, ~60% equity exposure (40-70% range) blended with bonds/alternatives, 0.39% total annual fee (0.35% management + ~0.04% transaction), recommended …see Investment Thesis sheet</t>
        </is>
      </c>
    </row>
    <row r="10">
      <c r="A10" t="inlineStr">
        <is>
          <t>TBD</t>
        </is>
      </c>
      <c r="B10" t="inlineStr">
        <is>
          <t>Tundra Sustainable Frontier Fund A SEK</t>
        </is>
      </c>
      <c r="C10" t="inlineStr">
        <is>
          <t>avanza-isk</t>
        </is>
      </c>
      <c r="D10" t="inlineStr">
        <is>
          <t>Avanza</t>
        </is>
      </c>
      <c r="E10" t="inlineStr">
        <is>
          <t>ISK</t>
        </is>
      </c>
      <c r="F10" t="inlineStr">
        <is>
          <t>fund</t>
        </is>
      </c>
      <c r="G10" t="inlineStr">
        <is>
          <t>equity</t>
        </is>
      </c>
      <c r="H10" t="inlineStr">
        <is>
          <t>unassigned</t>
        </is>
      </c>
      <c r="I10" t="inlineStr">
        <is>
          <t>SEK</t>
        </is>
      </c>
      <c r="J10" t="n">
        <v>0</v>
      </c>
      <c r="L10" t="n">
        <v>1000</v>
      </c>
      <c r="M10" t="n">
        <v>2.6</v>
      </c>
      <c r="N10" t="inlineStr">
        <is>
          <t>2026-07-29</t>
        </is>
      </c>
      <c r="P10" t="inlineStr">
        <is>
          <t>SOLD 2026-07-29 (user-confirmed EXECUTED, exact trade date not specified - sits within the 2026-07-22 to 2026-07-29 window): sale settled for 1,534.86 SEK proceeds (vs. the 1,563 SEK stale 2026-07-13 …see Investment Thesis sheet</t>
        </is>
      </c>
    </row>
    <row r="11">
      <c r="A11" t="inlineStr">
        <is>
          <t>TBD</t>
        </is>
      </c>
      <c r="B11" t="inlineStr">
        <is>
          <t>Avanza Global (fund)</t>
        </is>
      </c>
      <c r="C11" t="inlineStr">
        <is>
          <t>avanza-isk</t>
        </is>
      </c>
      <c r="D11" t="inlineStr">
        <is>
          <t>Avanza</t>
        </is>
      </c>
      <c r="E11" t="inlineStr">
        <is>
          <t>ISK</t>
        </is>
      </c>
      <c r="F11" t="inlineStr">
        <is>
          <t>fund</t>
        </is>
      </c>
      <c r="G11" t="inlineStr">
        <is>
          <t>equity</t>
        </is>
      </c>
      <c r="H11" t="inlineStr">
        <is>
          <t>secure</t>
        </is>
      </c>
      <c r="I11" t="inlineStr">
        <is>
          <t>SEK</t>
        </is>
      </c>
      <c r="J11" t="n">
        <v>0</v>
      </c>
      <c r="L11" t="n">
        <v>119999</v>
      </c>
      <c r="M11" t="n">
        <v>0.1</v>
      </c>
      <c r="N11" t="inlineStr">
        <is>
          <t>2026-07-29 (approximate - user reported the purchase 2026-07-29 as having happened 'a couple of days ago'; exact trade date not yet confirmed)</t>
        </is>
      </c>
      <c r="O11" t="inlineStr">
        <is>
          <t>UNLISTED FUND (user-confirmed 2026-07-31) - Avanza Global exists only on Avanza's own fund platform, not on a public exchange. No ticker/ISIN will ever resolve for it via Yahoo/SEC or any exchange-based fetch. This is PERMANENT, not a data gap awaiting a fix - do not keep re-flagging it as an open item each sweep.</t>
        </is>
      </c>
      <c r="P11" t="inlineStr">
        <is>
          <t>SETTLED 2026-07-29 (user-confirmed EXECUTED - this was previously recommended as the secure-tier deployment core but had NOT been logged as bought; user flagged the logging gap 2026-07-29). Global equ…see Investment Thesis sheet</t>
        </is>
      </c>
    </row>
    <row r="12">
      <c r="A12" t="inlineStr">
        <is>
          <t>ethereum</t>
        </is>
      </c>
      <c r="B12" t="inlineStr">
        <is>
          <t>ETH (self-custody wallet)</t>
        </is>
      </c>
      <c r="C12" t="inlineStr">
        <is>
          <t>eth-wallet</t>
        </is>
      </c>
      <c r="D12" t="inlineStr">
        <is>
          <t>personal wallet</t>
        </is>
      </c>
      <c r="E12" t="inlineStr">
        <is>
          <t>SELF_CUSTODY</t>
        </is>
      </c>
      <c r="F12" t="inlineStr">
        <is>
          <t>spot_crypto</t>
        </is>
      </c>
      <c r="G12" t="inlineStr">
        <is>
          <t>crypto</t>
        </is>
      </c>
      <c r="H12" t="inlineStr">
        <is>
          <t>high</t>
        </is>
      </c>
      <c r="M12" t="n">
        <v>0</v>
      </c>
      <c r="P12" t="inlineStr">
        <is>
          <t>TBD…see Investment Thesis sheet</t>
        </is>
      </c>
    </row>
    <row r="13">
      <c r="A13" t="inlineStr">
        <is>
          <t>SHB-A.ST</t>
        </is>
      </c>
      <c r="B13" t="inlineStr">
        <is>
          <t>Handelsbanken A (stock)</t>
        </is>
      </c>
      <c r="C13" t="inlineStr">
        <is>
          <t>avanza-isk</t>
        </is>
      </c>
      <c r="D13" t="inlineStr">
        <is>
          <t>Avanza</t>
        </is>
      </c>
      <c r="E13" t="inlineStr">
        <is>
          <t>ISK</t>
        </is>
      </c>
      <c r="F13" t="inlineStr">
        <is>
          <t>stock</t>
        </is>
      </c>
      <c r="G13" t="inlineStr">
        <is>
          <t>equity</t>
        </is>
      </c>
      <c r="H13" t="inlineStr">
        <is>
          <t>medium</t>
        </is>
      </c>
      <c r="I13" t="inlineStr">
        <is>
          <t>USD</t>
        </is>
      </c>
      <c r="J13" t="n">
        <v>1</v>
      </c>
      <c r="K13" t="n">
        <v>129.25</v>
      </c>
      <c r="P13" t="inlineStr">
        <is>
          <t>TBD - itemized 2026-07-13 from live Avanza snapshot, no stated reason for holding yet. Direktavkastning 5.58%, P/E 11.95. Next report 2026-07-15 (delarsrapport) - unrelated to the pending HB fondkonto…see Investment Thesis sheet</t>
        </is>
      </c>
    </row>
    <row r="14">
      <c r="A14" t="inlineStr">
        <is>
          <t>INVE-A.ST</t>
        </is>
      </c>
      <c r="B14" t="inlineStr">
        <is>
          <t>Investor A (stock)</t>
        </is>
      </c>
      <c r="C14" t="inlineStr">
        <is>
          <t>avanza-isk</t>
        </is>
      </c>
      <c r="D14" t="inlineStr">
        <is>
          <t>Avanza</t>
        </is>
      </c>
      <c r="E14" t="inlineStr">
        <is>
          <t>ISK</t>
        </is>
      </c>
      <c r="F14" t="inlineStr">
        <is>
          <t>stock</t>
        </is>
      </c>
      <c r="G14" t="inlineStr">
        <is>
          <t>equity</t>
        </is>
      </c>
      <c r="H14" t="inlineStr">
        <is>
          <t>medium</t>
        </is>
      </c>
      <c r="I14" t="inlineStr">
        <is>
          <t>EUR</t>
        </is>
      </c>
      <c r="J14" t="n">
        <v>5</v>
      </c>
      <c r="K14" t="n">
        <v>290.22</v>
      </c>
      <c r="P14" t="inlineStr">
        <is>
          <t>TBD - itemized 2026-07-13 from live Avanza snapshot, no stated reason for holding yet. Direktavkastning 1.45%, P/E 6.22. Next report 2026-07-16 (delarsrapport).…see Investment Thesis sheet</t>
        </is>
      </c>
    </row>
  </sheetData>
  <conditionalFormatting sqref="A2:P1000">
    <cfRule type="expression" priority="6" dxfId="0">
      <formula>$F2="stock"</formula>
    </cfRule>
    <cfRule type="expression" priority="7" dxfId="1">
      <formula>$F2="fund"</formula>
    </cfRule>
    <cfRule type="expression" priority="8" dxfId="2">
      <formula>$F2="certificate"</formula>
    </cfRule>
    <cfRule type="expression" priority="9" dxfId="3">
      <formula>$F2="cash"</formula>
    </cfRule>
    <cfRule type="expression" priority="10" dxfId="4">
      <formula>$F2="spot_crypto"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14" customWidth="1" min="7" max="7"/>
    <col width="22" customWidth="1" min="8" max="8"/>
    <col width="14" customWidth="1" min="9" max="9"/>
    <col width="18" customWidth="1" min="10" max="10"/>
    <col width="14" customWidth="1" min="11" max="11"/>
  </cols>
  <sheetData>
    <row r="1">
      <c r="A1" s="7" t="inlineStr">
        <is>
          <t>date</t>
        </is>
      </c>
      <c r="B1" s="7" t="inlineStr">
        <is>
          <t>ticker</t>
        </is>
      </c>
      <c r="C1" s="7" t="inlineStr">
        <is>
          <t>account_id</t>
        </is>
      </c>
      <c r="D1" s="7" t="inlineStr">
        <is>
          <t>action</t>
        </is>
      </c>
      <c r="E1" s="7" t="inlineStr">
        <is>
          <t>quantity</t>
        </is>
      </c>
      <c r="F1" s="7" t="inlineStr">
        <is>
          <t>price_per_unit</t>
        </is>
      </c>
      <c r="G1" s="7" t="inlineStr">
        <is>
          <t>currency</t>
        </is>
      </c>
      <c r="H1" s="7" t="inlineStr">
        <is>
          <t>proceeds_or_cost_sek</t>
        </is>
      </c>
      <c r="I1" s="7" t="inlineStr">
        <is>
          <t>tax_sek</t>
        </is>
      </c>
      <c r="J1" s="7" t="inlineStr">
        <is>
          <t>tax_free_wrapper</t>
        </is>
      </c>
      <c r="K1" s="7" t="inlineStr">
        <is>
          <t>notes</t>
        </is>
      </c>
    </row>
    <row r="2">
      <c r="A2" t="inlineStr">
        <is>
          <t>2026-07-12</t>
        </is>
      </c>
      <c r="B2" t="inlineStr">
        <is>
          <t>HB Auto 50 (fund)</t>
        </is>
      </c>
      <c r="C2" t="inlineStr">
        <is>
          <t>hb-main</t>
        </is>
      </c>
      <c r="D2" t="inlineStr">
        <is>
          <t>SELL</t>
        </is>
      </c>
      <c r="G2" t="inlineStr">
        <is>
          <t>SEK</t>
        </is>
      </c>
      <c r="H2" t="n">
        <v>97659.99000000001</v>
      </c>
      <c r="I2" t="n">
        <v>5765.61</v>
      </c>
      <c r="J2" t="inlineStr">
        <is>
          <t>no</t>
        </is>
      </c>
      <c r="K2" t="inlineStr">
        <is>
          <t>Genomsnittsmetoden; part of the HB fondkonto exit</t>
        </is>
      </c>
    </row>
    <row r="3">
      <c r="A3" t="inlineStr">
        <is>
          <t>2026-07-12</t>
        </is>
      </c>
      <c r="B3" t="inlineStr">
        <is>
          <t>HB Auto 75 (fund)</t>
        </is>
      </c>
      <c r="C3" t="inlineStr">
        <is>
          <t>hb-main</t>
        </is>
      </c>
      <c r="D3" t="inlineStr">
        <is>
          <t>SELL</t>
        </is>
      </c>
      <c r="G3" t="inlineStr">
        <is>
          <t>SEK</t>
        </is>
      </c>
      <c r="H3" t="n">
        <v>35997.42</v>
      </c>
      <c r="I3" t="n">
        <v>2690.25</v>
      </c>
      <c r="J3" t="inlineStr">
        <is>
          <t>no</t>
        </is>
      </c>
      <c r="K3" t="inlineStr">
        <is>
          <t>Genomsnittsmetoden; part of the HB fondkonto exit</t>
        </is>
      </c>
    </row>
    <row r="4">
      <c r="A4" t="inlineStr">
        <is>
          <t>2026-07-20</t>
        </is>
      </c>
      <c r="B4" t="inlineStr">
        <is>
          <t>CASH_SEK</t>
        </is>
      </c>
      <c r="C4" t="inlineStr">
        <is>
          <t>hb-main→avanza-isk</t>
        </is>
      </c>
      <c r="D4" t="inlineStr">
        <is>
          <t>TRANSFER</t>
        </is>
      </c>
      <c r="G4" t="inlineStr">
        <is>
          <t>SEK</t>
        </is>
      </c>
      <c r="H4" t="n">
        <v>127611.83</v>
      </c>
      <c r="I4" t="n">
        <v>0</v>
      </c>
      <c r="J4" t="inlineStr">
        <is>
          <t>n/a</t>
        </is>
      </c>
      <c r="K4" t="inlineStr">
        <is>
          <t>HB fondkonto exit proceeds transferred to Avanza ISK</t>
        </is>
      </c>
    </row>
    <row r="5">
      <c r="A5" t="inlineStr">
        <is>
          <t>2026-07-08</t>
        </is>
      </c>
      <c r="B5" t="inlineStr">
        <is>
          <t>SEB Europafond</t>
        </is>
      </c>
      <c r="C5" t="inlineStr">
        <is>
          <t>seb-fund</t>
        </is>
      </c>
      <c r="D5" t="inlineStr">
        <is>
          <t>SELL</t>
        </is>
      </c>
      <c r="G5" t="inlineStr">
        <is>
          <t>SEK</t>
        </is>
      </c>
      <c r="H5" t="n">
        <v>1591.83</v>
      </c>
      <c r="I5" t="n">
        <v>208.9</v>
      </c>
      <c r="J5" t="inlineStr">
        <is>
          <t>no</t>
        </is>
      </c>
      <c r="K5" t="inlineStr">
        <is>
          <t>cost basis 895.51 SEK, kapitalvinst 696.32 SEK</t>
        </is>
      </c>
    </row>
    <row r="6">
      <c r="A6" t="inlineStr">
        <is>
          <t>2026-07-08</t>
        </is>
      </c>
      <c r="B6" t="inlineStr">
        <is>
          <t>SEB Nordenfond A (remaining)</t>
        </is>
      </c>
      <c r="C6" t="inlineStr">
        <is>
          <t>seb-fund</t>
        </is>
      </c>
      <c r="D6" t="inlineStr">
        <is>
          <t>SELL</t>
        </is>
      </c>
      <c r="G6" t="inlineStr">
        <is>
          <t>SEK</t>
        </is>
      </c>
      <c r="H6" t="n">
        <v>5507.46</v>
      </c>
      <c r="I6" t="n">
        <v>1254.73</v>
      </c>
      <c r="J6" t="inlineStr">
        <is>
          <t>no</t>
        </is>
      </c>
      <c r="K6" t="inlineStr">
        <is>
          <t>cost basis 1325.03 SEK, kapitalvinst 4182.43 SEK</t>
        </is>
      </c>
    </row>
    <row r="7">
      <c r="A7" t="inlineStr">
        <is>
          <t>2026-07-08</t>
        </is>
      </c>
      <c r="B7" t="inlineStr">
        <is>
          <t>SEB Obligationsfond Flexibel A</t>
        </is>
      </c>
      <c r="C7" t="inlineStr">
        <is>
          <t>seb-fund</t>
        </is>
      </c>
      <c r="D7" t="inlineStr">
        <is>
          <t>SELL</t>
        </is>
      </c>
      <c r="G7" t="inlineStr">
        <is>
          <t>SEK</t>
        </is>
      </c>
      <c r="H7" t="n">
        <v>1428.94</v>
      </c>
      <c r="I7" t="n">
        <v>53.68</v>
      </c>
      <c r="J7" t="inlineStr">
        <is>
          <t>no</t>
        </is>
      </c>
      <c r="K7" t="inlineStr">
        <is>
          <t>cost basis 1250.0 SEK, kapitalvinst 178.94 SEK</t>
        </is>
      </c>
    </row>
    <row r="8">
      <c r="A8" t="inlineStr">
        <is>
          <t>2026-07-08</t>
        </is>
      </c>
      <c r="B8" t="inlineStr">
        <is>
          <t>SEB Sverigefond</t>
        </is>
      </c>
      <c r="C8" t="inlineStr">
        <is>
          <t>seb-fund</t>
        </is>
      </c>
      <c r="D8" t="inlineStr">
        <is>
          <t>SELL</t>
        </is>
      </c>
      <c r="G8" t="inlineStr">
        <is>
          <t>SEK</t>
        </is>
      </c>
      <c r="H8" t="n">
        <v>2841.9</v>
      </c>
      <c r="I8" t="n">
        <v>697.4400000000001</v>
      </c>
      <c r="J8" t="inlineStr">
        <is>
          <t>no</t>
        </is>
      </c>
      <c r="K8" t="inlineStr">
        <is>
          <t>cost basis 517.1 SEK, kapitalvinst 2324.8 SEK</t>
        </is>
      </c>
    </row>
    <row r="9">
      <c r="A9" t="inlineStr">
        <is>
          <t>2026-07-09</t>
        </is>
      </c>
      <c r="B9" t="inlineStr">
        <is>
          <t>SEB Global Focus C USD (remaining)</t>
        </is>
      </c>
      <c r="C9" t="inlineStr">
        <is>
          <t>seb-fund</t>
        </is>
      </c>
      <c r="D9" t="inlineStr">
        <is>
          <t>SELL</t>
        </is>
      </c>
      <c r="G9" t="inlineStr">
        <is>
          <t>SEK</t>
        </is>
      </c>
      <c r="H9" t="n">
        <v>2187.99</v>
      </c>
      <c r="I9" t="n">
        <v>514.65</v>
      </c>
      <c r="J9" t="inlineStr">
        <is>
          <t>no</t>
        </is>
      </c>
      <c r="K9" t="inlineStr">
        <is>
          <t>cost basis 472.5 SEK, kapitalvinst 1715.49 SEK</t>
        </is>
      </c>
    </row>
    <row r="10">
      <c r="A10" t="inlineStr">
        <is>
          <t>2026-07-10</t>
        </is>
      </c>
      <c r="B10" t="inlineStr">
        <is>
          <t>SEB Emerging Markets C USD Lux</t>
        </is>
      </c>
      <c r="C10" t="inlineStr">
        <is>
          <t>seb-fund</t>
        </is>
      </c>
      <c r="D10" t="inlineStr">
        <is>
          <t>SELL</t>
        </is>
      </c>
      <c r="G10" t="inlineStr">
        <is>
          <t>SEK</t>
        </is>
      </c>
      <c r="H10" t="n">
        <v>752.73</v>
      </c>
      <c r="I10" t="n">
        <v>150.82</v>
      </c>
      <c r="J10" t="inlineStr">
        <is>
          <t>no</t>
        </is>
      </c>
      <c r="K10" t="inlineStr">
        <is>
          <t>cost basis 250.0 SEK, kapitalvinst 502.73 SEK</t>
        </is>
      </c>
    </row>
    <row r="11">
      <c r="A11" t="inlineStr">
        <is>
          <t>2026-07-10</t>
        </is>
      </c>
      <c r="B11" t="inlineStr">
        <is>
          <t>SEB Emerging Marketsfond</t>
        </is>
      </c>
      <c r="C11" t="inlineStr">
        <is>
          <t>seb-fund</t>
        </is>
      </c>
      <c r="D11" t="inlineStr">
        <is>
          <t>SELL</t>
        </is>
      </c>
      <c r="G11" t="inlineStr">
        <is>
          <t>SEK</t>
        </is>
      </c>
      <c r="H11" t="n">
        <v>2989.87</v>
      </c>
      <c r="I11" t="n">
        <v>157.21</v>
      </c>
      <c r="J11" t="inlineStr">
        <is>
          <t>no</t>
        </is>
      </c>
      <c r="K11" t="inlineStr">
        <is>
          <t>cost basis 2465.84 SEK, kapitalvinst 524.03 SEK</t>
        </is>
      </c>
    </row>
    <row r="12">
      <c r="A12" t="inlineStr">
        <is>
          <t>2026-07-20</t>
        </is>
      </c>
      <c r="B12" t="inlineStr">
        <is>
          <t>CASH_SEK</t>
        </is>
      </c>
      <c r="C12" t="inlineStr">
        <is>
          <t>seb-fund→avanza-isk</t>
        </is>
      </c>
      <c r="D12" t="inlineStr">
        <is>
          <t>TRANSFER</t>
        </is>
      </c>
      <c r="G12" t="inlineStr">
        <is>
          <t>SEK</t>
        </is>
      </c>
      <c r="H12" t="n">
        <v>17382.43</v>
      </c>
      <c r="I12" t="n">
        <v>0</v>
      </c>
      <c r="J12" t="inlineStr">
        <is>
          <t>n/a</t>
        </is>
      </c>
      <c r="K12" t="inlineStr">
        <is>
          <t>SEB fund proceeds transferred to Avanza ISK</t>
        </is>
      </c>
    </row>
    <row r="13">
      <c r="A13" t="inlineStr">
        <is>
          <t>2026-07-29</t>
        </is>
      </c>
      <c r="B13" t="inlineStr">
        <is>
          <t>Tundra Sustainable Frontier Fund A SEK</t>
        </is>
      </c>
      <c r="C13" t="inlineStr">
        <is>
          <t>avanza-isk</t>
        </is>
      </c>
      <c r="D13" t="inlineStr">
        <is>
          <t>SELL</t>
        </is>
      </c>
      <c r="G13" t="inlineStr">
        <is>
          <t>SEK</t>
        </is>
      </c>
      <c r="H13" t="n">
        <v>1534.86</v>
      </c>
      <c r="I13" t="n">
        <v>0</v>
      </c>
      <c r="J13" t="inlineStr">
        <is>
          <t>yes</t>
        </is>
      </c>
      <c r="K13" t="inlineStr">
        <is>
          <t>Sold in full — 2.6%/yr fee unjustifiable. Tax-free inside ISK. Cost basis 1,000 SEK.</t>
        </is>
      </c>
    </row>
    <row r="14">
      <c r="A14" t="inlineStr">
        <is>
          <t>2026-07-29</t>
        </is>
      </c>
      <c r="B14" t="inlineStr">
        <is>
          <t>Avanza Global (fund)</t>
        </is>
      </c>
      <c r="C14" t="inlineStr">
        <is>
          <t>avanza-isk</t>
        </is>
      </c>
      <c r="D14" t="inlineStr">
        <is>
          <t>BUY</t>
        </is>
      </c>
      <c r="G14" t="inlineStr">
        <is>
          <t>SEK</t>
        </is>
      </c>
      <c r="H14" t="n">
        <v>119999</v>
      </c>
      <c r="J14" t="inlineStr">
        <is>
          <t>yes</t>
        </is>
      </c>
      <c r="K14" t="inlineStr">
        <is>
          <t>Secure-tier core purchase; ~59,050 SEK of this earmarked medium-pending for gradual migration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s>
  <sheetData>
    <row r="1">
      <c r="A1" s="7" t="inlineStr">
        <is>
          <t>ticker</t>
        </is>
      </c>
      <c r="B1" s="7" t="inlineStr">
        <is>
          <t>name</t>
        </is>
      </c>
      <c r="C1" s="7" t="inlineStr">
        <is>
          <t>date_added</t>
        </is>
      </c>
      <c r="D1" s="7" t="inlineStr">
        <is>
          <t>source</t>
        </is>
      </c>
      <c r="E1" s="7" t="inlineStr">
        <is>
          <t>notes</t>
        </is>
      </c>
    </row>
    <row r="2">
      <c r="A2" t="inlineStr">
        <is>
          <t>SU.PA</t>
        </is>
      </c>
      <c r="B2" t="inlineStr">
        <is>
          <t>Schneider Electric</t>
        </is>
      </c>
      <c r="C2" t="inlineStr">
        <is>
          <t>2026-07-29</t>
        </is>
      </c>
      <c r="D2" t="inlineStr">
        <is>
          <t>claude</t>
        </is>
      </c>
      <c r="E2" t="inlineStr">
        <is>
          <t>risk_tag=med; policy_tailwind=Western grid-buildout and energy-transition spending; data-center power demand.</t>
        </is>
      </c>
    </row>
    <row r="3">
      <c r="A3" t="inlineStr">
        <is>
          <t>ASML.AS</t>
        </is>
      </c>
      <c r="B3" t="inlineStr">
        <is>
          <t>ASML Holding</t>
        </is>
      </c>
      <c r="C3" t="inlineStr">
        <is>
          <t>2026-07-29</t>
        </is>
      </c>
      <c r="D3" t="inlineStr">
        <is>
          <t>claude</t>
        </is>
      </c>
      <c r="E3" t="inlineStr">
        <is>
          <t>risk_tag=med; policy_tailwind=US CHIPS Act + EU Chips Act reshoring subsidies drive fab build-out.</t>
        </is>
      </c>
    </row>
    <row r="4">
      <c r="A4" t="inlineStr">
        <is>
          <t>IFX.DE</t>
        </is>
      </c>
      <c r="B4" t="inlineStr">
        <is>
          <t>Infineon Technologies</t>
        </is>
      </c>
      <c r="C4" t="inlineStr">
        <is>
          <t>2026-07-29</t>
        </is>
      </c>
      <c r="D4" t="inlineStr">
        <is>
          <t>claude</t>
        </is>
      </c>
      <c r="E4" t="inlineStr">
        <is>
          <t>risk_tag=high; policy_tailwind=EV adoption + electrification policy.</t>
        </is>
      </c>
    </row>
    <row r="5">
      <c r="A5" t="inlineStr">
        <is>
          <t>IBE.MC</t>
        </is>
      </c>
      <c r="B5" t="inlineStr">
        <is>
          <t>Iberdrola</t>
        </is>
      </c>
      <c r="C5" t="inlineStr">
        <is>
          <t>2026-07-29</t>
        </is>
      </c>
      <c r="D5" t="inlineStr">
        <is>
          <t>claude</t>
        </is>
      </c>
      <c r="E5" t="inlineStr">
        <is>
          <t>risk_tag=low; policy_tailwind=Renewable-energy subsidies and grid investment.</t>
        </is>
      </c>
    </row>
    <row r="6">
      <c r="A6" t="inlineStr">
        <is>
          <t>NOVO-B.CO</t>
        </is>
      </c>
      <c r="B6" t="inlineStr">
        <is>
          <t>Novo Nordisk</t>
        </is>
      </c>
      <c r="C6" t="inlineStr">
        <is>
          <t>2026-07-29</t>
        </is>
      </c>
      <c r="D6" t="inlineStr">
        <is>
          <t>claude</t>
        </is>
      </c>
      <c r="E6" t="inlineStr">
        <is>
          <t>risk_tag=high; policy_tailwind=Drug-pricing politics run AGAINST this one (US pricing pressure) — a headwind, flagged honestly.</t>
        </is>
      </c>
    </row>
    <row r="7">
      <c r="A7" t="inlineStr">
        <is>
          <t>TSM</t>
        </is>
      </c>
      <c r="B7" t="inlineStr">
        <is>
          <t>Taiwan Semiconductor (US ADR)</t>
        </is>
      </c>
      <c r="C7" t="inlineStr">
        <is>
          <t>2026-07-29</t>
        </is>
      </c>
      <c r="D7" t="inlineStr">
        <is>
          <t>claude</t>
        </is>
      </c>
      <c r="E7" t="inlineStr">
        <is>
          <t>risk_tag=high; policy_tailwind=Reshoring subsidies (CHIPS Act) fund its US fabs.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s>
  <sheetData>
    <row r="1">
      <c r="A1" s="7" t="inlineStr">
        <is>
          <t>ticker</t>
        </is>
      </c>
      <c r="B1" s="7" t="inlineStr">
        <is>
          <t>category</t>
        </is>
      </c>
      <c r="C1" s="7" t="inlineStr">
        <is>
          <t>name</t>
        </is>
      </c>
      <c r="D1" s="7" t="inlineStr">
        <is>
          <t>currency</t>
        </is>
      </c>
      <c r="E1" s="7" t="inlineStr">
        <is>
          <t>date_added</t>
        </is>
      </c>
      <c r="F1" s="7" t="inlineStr">
        <is>
          <t>source</t>
        </is>
      </c>
    </row>
    <row r="2">
      <c r="A2" t="inlineStr">
        <is>
          <t>VWCE.DE</t>
        </is>
      </c>
      <c r="B2" t="inlineStr">
        <is>
          <t>broad_index_etfs</t>
        </is>
      </c>
    </row>
    <row r="3">
      <c r="A3" t="inlineStr">
        <is>
          <t>EUNL.DE</t>
        </is>
      </c>
      <c r="B3" t="inlineStr">
        <is>
          <t>broad_index_etfs</t>
        </is>
      </c>
    </row>
    <row r="4">
      <c r="A4" t="inlineStr">
        <is>
          <t>IS3N.DE</t>
        </is>
      </c>
      <c r="B4" t="inlineStr">
        <is>
          <t>broad_index_etfs</t>
        </is>
      </c>
    </row>
    <row r="5">
      <c r="A5" t="inlineStr">
        <is>
          <t>SPY</t>
        </is>
      </c>
      <c r="B5" t="inlineStr">
        <is>
          <t>broad_index_etfs</t>
        </is>
      </c>
    </row>
    <row r="6">
      <c r="A6" t="inlineStr">
        <is>
          <t>QQQ</t>
        </is>
      </c>
      <c r="B6" t="inlineStr">
        <is>
          <t>broad_index_etfs</t>
        </is>
      </c>
    </row>
    <row r="7">
      <c r="A7" t="inlineStr">
        <is>
          <t>BTC-USD</t>
        </is>
      </c>
      <c r="B7" t="inlineStr">
        <is>
          <t>crypto_usd_proxies</t>
        </is>
      </c>
    </row>
    <row r="8">
      <c r="A8" t="inlineStr">
        <is>
          <t>ETH-USD</t>
        </is>
      </c>
      <c r="B8" t="inlineStr">
        <is>
          <t>crypto_usd_proxies</t>
        </is>
      </c>
    </row>
    <row r="9">
      <c r="A9" t="inlineStr">
        <is>
          <t>ADYEN.AS</t>
        </is>
      </c>
      <c r="B9" t="inlineStr">
        <is>
          <t>europe_large_cap</t>
        </is>
      </c>
      <c r="D9" t="inlineStr">
        <is>
          <t>EUR</t>
        </is>
      </c>
      <c r="F9" t="inlineStr">
        <is>
          <t>manual_validated</t>
        </is>
      </c>
    </row>
    <row r="10">
      <c r="A10" t="inlineStr">
        <is>
          <t>AIR.PA</t>
        </is>
      </c>
      <c r="B10" t="inlineStr">
        <is>
          <t>europe_large_cap</t>
        </is>
      </c>
      <c r="D10" t="inlineStr">
        <is>
          <t>EUR</t>
        </is>
      </c>
      <c r="F10" t="inlineStr">
        <is>
          <t>manual_validated</t>
        </is>
      </c>
    </row>
    <row r="11">
      <c r="A11" t="inlineStr">
        <is>
          <t>ASM.AS</t>
        </is>
      </c>
      <c r="B11" t="inlineStr">
        <is>
          <t>europe_large_cap</t>
        </is>
      </c>
      <c r="D11" t="inlineStr">
        <is>
          <t>EUR</t>
        </is>
      </c>
      <c r="F11" t="inlineStr">
        <is>
          <t>manual_validated</t>
        </is>
      </c>
    </row>
    <row r="12">
      <c r="A12" t="inlineStr">
        <is>
          <t>ASML.AS</t>
        </is>
      </c>
      <c r="B12" t="inlineStr">
        <is>
          <t>europe_large_cap</t>
        </is>
      </c>
      <c r="D12" t="inlineStr">
        <is>
          <t>EUR</t>
        </is>
      </c>
      <c r="F12" t="inlineStr">
        <is>
          <t>claude_thesis</t>
        </is>
      </c>
    </row>
    <row r="13">
      <c r="A13" t="inlineStr">
        <is>
          <t>CAP.PA</t>
        </is>
      </c>
      <c r="B13" t="inlineStr">
        <is>
          <t>europe_large_cap</t>
        </is>
      </c>
      <c r="D13" t="inlineStr">
        <is>
          <t>EUR</t>
        </is>
      </c>
      <c r="F13" t="inlineStr">
        <is>
          <t>manual_validated</t>
        </is>
      </c>
    </row>
    <row r="14">
      <c r="A14" t="inlineStr">
        <is>
          <t>DSV.CO</t>
        </is>
      </c>
      <c r="B14" t="inlineStr">
        <is>
          <t>europe_large_cap</t>
        </is>
      </c>
      <c r="D14" t="inlineStr">
        <is>
          <t>DKK</t>
        </is>
      </c>
      <c r="F14" t="inlineStr">
        <is>
          <t>manual_validated</t>
        </is>
      </c>
    </row>
    <row r="15">
      <c r="A15" t="inlineStr">
        <is>
          <t>DSY.PA</t>
        </is>
      </c>
      <c r="B15" t="inlineStr">
        <is>
          <t>europe_large_cap</t>
        </is>
      </c>
      <c r="D15" t="inlineStr">
        <is>
          <t>EUR</t>
        </is>
      </c>
      <c r="F15" t="inlineStr">
        <is>
          <t>manual_validated</t>
        </is>
      </c>
    </row>
    <row r="16">
      <c r="A16" t="inlineStr">
        <is>
          <t>ENEL.MI</t>
        </is>
      </c>
      <c r="B16" t="inlineStr">
        <is>
          <t>europe_large_cap</t>
        </is>
      </c>
      <c r="D16" t="inlineStr">
        <is>
          <t>EUR</t>
        </is>
      </c>
      <c r="F16" t="inlineStr">
        <is>
          <t>manual_validated</t>
        </is>
      </c>
    </row>
    <row r="17">
      <c r="A17" t="inlineStr">
        <is>
          <t>IBE.MC</t>
        </is>
      </c>
      <c r="B17" t="inlineStr">
        <is>
          <t>europe_large_cap</t>
        </is>
      </c>
      <c r="D17" t="inlineStr">
        <is>
          <t>EUR</t>
        </is>
      </c>
      <c r="F17" t="inlineStr">
        <is>
          <t>claude_thesis</t>
        </is>
      </c>
    </row>
    <row r="18">
      <c r="A18" t="inlineStr">
        <is>
          <t>IFX.DE</t>
        </is>
      </c>
      <c r="B18" t="inlineStr">
        <is>
          <t>europe_large_cap</t>
        </is>
      </c>
      <c r="D18" t="inlineStr">
        <is>
          <t>EUR</t>
        </is>
      </c>
      <c r="F18" t="inlineStr">
        <is>
          <t>claude_thesis</t>
        </is>
      </c>
    </row>
    <row r="19">
      <c r="A19" t="inlineStr">
        <is>
          <t>ITX.MC</t>
        </is>
      </c>
      <c r="B19" t="inlineStr">
        <is>
          <t>europe_large_cap</t>
        </is>
      </c>
      <c r="D19" t="inlineStr">
        <is>
          <t>EUR</t>
        </is>
      </c>
      <c r="F19" t="inlineStr">
        <is>
          <t>manual_validated</t>
        </is>
      </c>
    </row>
    <row r="20">
      <c r="A20" t="inlineStr">
        <is>
          <t>MC.PA</t>
        </is>
      </c>
      <c r="B20" t="inlineStr">
        <is>
          <t>europe_large_cap</t>
        </is>
      </c>
      <c r="D20" t="inlineStr">
        <is>
          <t>EUR</t>
        </is>
      </c>
      <c r="F20" t="inlineStr">
        <is>
          <t>manual_validated</t>
        </is>
      </c>
    </row>
    <row r="21">
      <c r="A21" t="inlineStr">
        <is>
          <t>MRK.DE</t>
        </is>
      </c>
      <c r="B21" t="inlineStr">
        <is>
          <t>europe_large_cap</t>
        </is>
      </c>
      <c r="D21" t="inlineStr">
        <is>
          <t>EUR</t>
        </is>
      </c>
      <c r="F21" t="inlineStr">
        <is>
          <t>manual_validated</t>
        </is>
      </c>
    </row>
    <row r="22">
      <c r="A22" t="inlineStr">
        <is>
          <t>NESN.SW</t>
        </is>
      </c>
      <c r="B22" t="inlineStr">
        <is>
          <t>europe_large_cap</t>
        </is>
      </c>
      <c r="D22" t="inlineStr">
        <is>
          <t>CHF</t>
        </is>
      </c>
      <c r="F22" t="inlineStr">
        <is>
          <t>manual_validated</t>
        </is>
      </c>
    </row>
    <row r="23">
      <c r="A23" t="inlineStr">
        <is>
          <t>NOVN.SW</t>
        </is>
      </c>
      <c r="B23" t="inlineStr">
        <is>
          <t>europe_large_cap</t>
        </is>
      </c>
      <c r="D23" t="inlineStr">
        <is>
          <t>CHF</t>
        </is>
      </c>
      <c r="F23" t="inlineStr">
        <is>
          <t>manual_validated</t>
        </is>
      </c>
    </row>
    <row r="24">
      <c r="A24" t="inlineStr">
        <is>
          <t>NOVO-B.CO</t>
        </is>
      </c>
      <c r="B24" t="inlineStr">
        <is>
          <t>europe_large_cap</t>
        </is>
      </c>
      <c r="D24" t="inlineStr">
        <is>
          <t>DKK</t>
        </is>
      </c>
      <c r="F24" t="inlineStr">
        <is>
          <t>claude_thesis</t>
        </is>
      </c>
    </row>
    <row r="25">
      <c r="A25" t="inlineStr">
        <is>
          <t>OR.PA</t>
        </is>
      </c>
      <c r="B25" t="inlineStr">
        <is>
          <t>europe_large_cap</t>
        </is>
      </c>
      <c r="D25" t="inlineStr">
        <is>
          <t>EUR</t>
        </is>
      </c>
      <c r="F25" t="inlineStr">
        <is>
          <t>manual_validated</t>
        </is>
      </c>
    </row>
    <row r="26">
      <c r="A26" t="inlineStr">
        <is>
          <t>ORSTED.CO</t>
        </is>
      </c>
      <c r="B26" t="inlineStr">
        <is>
          <t>europe_large_cap</t>
        </is>
      </c>
      <c r="D26" t="inlineStr">
        <is>
          <t>DKK</t>
        </is>
      </c>
      <c r="F26" t="inlineStr">
        <is>
          <t>manual_validated</t>
        </is>
      </c>
    </row>
    <row r="27">
      <c r="A27" t="inlineStr">
        <is>
          <t>RACE.MI</t>
        </is>
      </c>
      <c r="B27" t="inlineStr">
        <is>
          <t>europe_large_cap</t>
        </is>
      </c>
      <c r="D27" t="inlineStr">
        <is>
          <t>EUR</t>
        </is>
      </c>
      <c r="F27" t="inlineStr">
        <is>
          <t>manual_validated</t>
        </is>
      </c>
    </row>
    <row r="28">
      <c r="A28" t="inlineStr">
        <is>
          <t>RMS.PA</t>
        </is>
      </c>
      <c r="B28" t="inlineStr">
        <is>
          <t>europe_large_cap</t>
        </is>
      </c>
      <c r="D28" t="inlineStr">
        <is>
          <t>EUR</t>
        </is>
      </c>
      <c r="F28" t="inlineStr">
        <is>
          <t>manual_validated</t>
        </is>
      </c>
    </row>
    <row r="29">
      <c r="A29" t="inlineStr">
        <is>
          <t>RWE.DE</t>
        </is>
      </c>
      <c r="B29" t="inlineStr">
        <is>
          <t>europe_large_cap</t>
        </is>
      </c>
      <c r="D29" t="inlineStr">
        <is>
          <t>EUR</t>
        </is>
      </c>
      <c r="F29" t="inlineStr">
        <is>
          <t>manual_validated</t>
        </is>
      </c>
    </row>
    <row r="30">
      <c r="A30" t="inlineStr">
        <is>
          <t>SAN.PA</t>
        </is>
      </c>
      <c r="B30" t="inlineStr">
        <is>
          <t>europe_large_cap</t>
        </is>
      </c>
      <c r="D30" t="inlineStr">
        <is>
          <t>EUR</t>
        </is>
      </c>
      <c r="F30" t="inlineStr">
        <is>
          <t>manual_validated</t>
        </is>
      </c>
    </row>
    <row r="31">
      <c r="A31" t="inlineStr">
        <is>
          <t>SAP.DE</t>
        </is>
      </c>
      <c r="B31" t="inlineStr">
        <is>
          <t>europe_large_cap</t>
        </is>
      </c>
      <c r="D31" t="inlineStr">
        <is>
          <t>EUR</t>
        </is>
      </c>
      <c r="F31" t="inlineStr">
        <is>
          <t>manual_validated</t>
        </is>
      </c>
    </row>
    <row r="32">
      <c r="A32" t="inlineStr">
        <is>
          <t>SIE.DE</t>
        </is>
      </c>
      <c r="B32" t="inlineStr">
        <is>
          <t>europe_large_cap</t>
        </is>
      </c>
      <c r="D32" t="inlineStr">
        <is>
          <t>EUR</t>
        </is>
      </c>
      <c r="F32" t="inlineStr">
        <is>
          <t>manual_validated</t>
        </is>
      </c>
    </row>
    <row r="33">
      <c r="A33" t="inlineStr">
        <is>
          <t>SU.PA</t>
        </is>
      </c>
      <c r="B33" t="inlineStr">
        <is>
          <t>europe_large_cap</t>
        </is>
      </c>
      <c r="D33" t="inlineStr">
        <is>
          <t>EUR</t>
        </is>
      </c>
      <c r="F33" t="inlineStr">
        <is>
          <t>claude_thesis</t>
        </is>
      </c>
    </row>
    <row r="34">
      <c r="A34" t="inlineStr">
        <is>
          <t>VWS.CO</t>
        </is>
      </c>
      <c r="B34" t="inlineStr">
        <is>
          <t>europe_large_cap</t>
        </is>
      </c>
      <c r="D34" t="inlineStr">
        <is>
          <t>DKK</t>
        </is>
      </c>
      <c r="F34" t="inlineStr">
        <is>
          <t>manual_validated</t>
        </is>
      </c>
    </row>
    <row r="35">
      <c r="A35" t="inlineStr">
        <is>
          <t>WKL.AS</t>
        </is>
      </c>
      <c r="B35" t="inlineStr">
        <is>
          <t>europe_large_cap</t>
        </is>
      </c>
      <c r="D35" t="inlineStr">
        <is>
          <t>EUR</t>
        </is>
      </c>
      <c r="F35" t="inlineStr">
        <is>
          <t>manual_validated</t>
        </is>
      </c>
    </row>
    <row r="36">
      <c r="A36" t="inlineStr">
        <is>
          <t>INVE-B.ST</t>
        </is>
      </c>
      <c r="B36" t="inlineStr">
        <is>
          <t>nordic_large_cap</t>
        </is>
      </c>
    </row>
    <row r="37">
      <c r="A37" t="inlineStr">
        <is>
          <t>ATCO-A.ST</t>
        </is>
      </c>
      <c r="B37" t="inlineStr">
        <is>
          <t>nordic_large_cap</t>
        </is>
      </c>
    </row>
    <row r="38">
      <c r="A38" t="inlineStr">
        <is>
          <t>VOLV-B.ST</t>
        </is>
      </c>
      <c r="B38" t="inlineStr">
        <is>
          <t>nordic_large_cap</t>
        </is>
      </c>
    </row>
    <row r="39">
      <c r="A39" t="inlineStr">
        <is>
          <t>ERIC-B.ST</t>
        </is>
      </c>
      <c r="B39" t="inlineStr">
        <is>
          <t>nordic_large_cap</t>
        </is>
      </c>
    </row>
    <row r="40">
      <c r="A40" t="inlineStr">
        <is>
          <t>SEB-A.ST</t>
        </is>
      </c>
      <c r="B40" t="inlineStr">
        <is>
          <t>nordic_large_cap</t>
        </is>
      </c>
    </row>
    <row r="41">
      <c r="A41" t="inlineStr">
        <is>
          <t>EVO.ST</t>
        </is>
      </c>
      <c r="B41" t="inlineStr">
        <is>
          <t>nordic_large_cap</t>
        </is>
      </c>
    </row>
    <row r="42">
      <c r="A42" t="inlineStr">
        <is>
          <t>HM-B.ST</t>
        </is>
      </c>
      <c r="B42" t="inlineStr">
        <is>
          <t>nordic_large_cap</t>
        </is>
      </c>
    </row>
    <row r="43">
      <c r="A43" t="inlineStr">
        <is>
          <t>SAND.ST</t>
        </is>
      </c>
      <c r="B43" t="inlineStr">
        <is>
          <t>nordic_large_cap</t>
        </is>
      </c>
    </row>
    <row r="44">
      <c r="A44" t="inlineStr">
        <is>
          <t>ASSA-B.ST</t>
        </is>
      </c>
      <c r="B44" t="inlineStr">
        <is>
          <t>nordic_large_cap</t>
        </is>
      </c>
    </row>
    <row r="45">
      <c r="A45" t="inlineStr">
        <is>
          <t>NOVO-B.CO</t>
        </is>
      </c>
      <c r="B45" t="inlineStr">
        <is>
          <t>nordic_large_cap</t>
        </is>
      </c>
      <c r="D45" t="inlineStr">
        <is>
          <t>DKK</t>
        </is>
      </c>
      <c r="F45" t="inlineStr">
        <is>
          <t>claude_thesis</t>
        </is>
      </c>
    </row>
    <row r="46">
      <c r="A46" t="inlineStr">
        <is>
          <t>ASML</t>
        </is>
      </c>
      <c r="B46" t="inlineStr">
        <is>
          <t>semis_and_ai_infra</t>
        </is>
      </c>
    </row>
    <row r="47">
      <c r="A47" t="inlineStr">
        <is>
          <t>TSM</t>
        </is>
      </c>
      <c r="B47" t="inlineStr">
        <is>
          <t>semis_and_ai_infra</t>
        </is>
      </c>
      <c r="D47" t="inlineStr">
        <is>
          <t>USD</t>
        </is>
      </c>
      <c r="F47" t="inlineStr">
        <is>
          <t>claude_thesis</t>
        </is>
      </c>
    </row>
    <row r="48">
      <c r="A48" t="inlineStr">
        <is>
          <t>AVGO</t>
        </is>
      </c>
      <c r="B48" t="inlineStr">
        <is>
          <t>semis_and_ai_infra</t>
        </is>
      </c>
      <c r="C48" t="inlineStr">
        <is>
          <t>Broadcom</t>
        </is>
      </c>
      <c r="F48" t="inlineStr">
        <is>
          <t>sp500_github</t>
        </is>
      </c>
    </row>
    <row r="49">
      <c r="A49" t="inlineStr">
        <is>
          <t>AMD</t>
        </is>
      </c>
      <c r="B49" t="inlineStr">
        <is>
          <t>semis_and_ai_infra</t>
        </is>
      </c>
      <c r="C49" t="inlineStr">
        <is>
          <t>Advanced Micro Devices</t>
        </is>
      </c>
      <c r="F49" t="inlineStr">
        <is>
          <t>sp500_github</t>
        </is>
      </c>
    </row>
    <row r="50">
      <c r="A50" t="inlineStr">
        <is>
          <t>ASML.AS</t>
        </is>
      </c>
      <c r="B50" t="inlineStr">
        <is>
          <t>thesis_candidates</t>
        </is>
      </c>
      <c r="D50" t="inlineStr">
        <is>
          <t>EUR</t>
        </is>
      </c>
      <c r="F50" t="inlineStr">
        <is>
          <t>claude_thesis</t>
        </is>
      </c>
    </row>
    <row r="51">
      <c r="A51" t="inlineStr">
        <is>
          <t>IBE.MC</t>
        </is>
      </c>
      <c r="B51" t="inlineStr">
        <is>
          <t>thesis_candidates</t>
        </is>
      </c>
      <c r="D51" t="inlineStr">
        <is>
          <t>EUR</t>
        </is>
      </c>
      <c r="F51" t="inlineStr">
        <is>
          <t>claude_thesis</t>
        </is>
      </c>
    </row>
    <row r="52">
      <c r="A52" t="inlineStr">
        <is>
          <t>IFX.DE</t>
        </is>
      </c>
      <c r="B52" t="inlineStr">
        <is>
          <t>thesis_candidates</t>
        </is>
      </c>
      <c r="D52" t="inlineStr">
        <is>
          <t>EUR</t>
        </is>
      </c>
      <c r="F52" t="inlineStr">
        <is>
          <t>claude_thesis</t>
        </is>
      </c>
    </row>
    <row r="53">
      <c r="A53" t="inlineStr">
        <is>
          <t>NOVO-B.CO</t>
        </is>
      </c>
      <c r="B53" t="inlineStr">
        <is>
          <t>thesis_candidates</t>
        </is>
      </c>
      <c r="D53" t="inlineStr">
        <is>
          <t>DKK</t>
        </is>
      </c>
      <c r="F53" t="inlineStr">
        <is>
          <t>claude_thesis</t>
        </is>
      </c>
    </row>
    <row r="54">
      <c r="A54" t="inlineStr">
        <is>
          <t>SU.PA</t>
        </is>
      </c>
      <c r="B54" t="inlineStr">
        <is>
          <t>thesis_candidates</t>
        </is>
      </c>
      <c r="D54" t="inlineStr">
        <is>
          <t>EUR</t>
        </is>
      </c>
      <c r="F54" t="inlineStr">
        <is>
          <t>claude_thesis</t>
        </is>
      </c>
    </row>
    <row r="55">
      <c r="A55" t="inlineStr">
        <is>
          <t>TSM</t>
        </is>
      </c>
      <c r="B55" t="inlineStr">
        <is>
          <t>thesis_candidates</t>
        </is>
      </c>
      <c r="D55" t="inlineStr">
        <is>
          <t>USD</t>
        </is>
      </c>
      <c r="F55" t="inlineStr">
        <is>
          <t>claude_thesis</t>
        </is>
      </c>
    </row>
    <row r="56">
      <c r="A56" t="inlineStr">
        <is>
          <t>AAPL</t>
        </is>
      </c>
      <c r="B56" t="inlineStr">
        <is>
          <t>us_mega_cap</t>
        </is>
      </c>
      <c r="C56" t="inlineStr">
        <is>
          <t>Apple Inc.</t>
        </is>
      </c>
      <c r="F56" t="inlineStr">
        <is>
          <t>sp500_github</t>
        </is>
      </c>
    </row>
    <row r="57">
      <c r="A57" t="inlineStr">
        <is>
          <t>MSFT</t>
        </is>
      </c>
      <c r="B57" t="inlineStr">
        <is>
          <t>us_mega_cap</t>
        </is>
      </c>
      <c r="C57" t="inlineStr">
        <is>
          <t>Microsoft</t>
        </is>
      </c>
      <c r="F57" t="inlineStr">
        <is>
          <t>sp500_github</t>
        </is>
      </c>
    </row>
    <row r="58">
      <c r="A58" t="inlineStr">
        <is>
          <t>NVDA</t>
        </is>
      </c>
      <c r="B58" t="inlineStr">
        <is>
          <t>us_mega_cap</t>
        </is>
      </c>
      <c r="C58" t="inlineStr">
        <is>
          <t>Nvidia</t>
        </is>
      </c>
      <c r="F58" t="inlineStr">
        <is>
          <t>sp500_github</t>
        </is>
      </c>
    </row>
    <row r="59">
      <c r="A59" t="inlineStr">
        <is>
          <t>GOOGL</t>
        </is>
      </c>
      <c r="B59" t="inlineStr">
        <is>
          <t>us_mega_cap</t>
        </is>
      </c>
      <c r="C59" t="inlineStr">
        <is>
          <t>Alphabet Inc. (Class A)</t>
        </is>
      </c>
      <c r="F59" t="inlineStr">
        <is>
          <t>sp500_github</t>
        </is>
      </c>
    </row>
    <row r="60">
      <c r="A60" t="inlineStr">
        <is>
          <t>AMZN</t>
        </is>
      </c>
      <c r="B60" t="inlineStr">
        <is>
          <t>us_mega_cap</t>
        </is>
      </c>
      <c r="C60" t="inlineStr">
        <is>
          <t>Amazon</t>
        </is>
      </c>
      <c r="F60" t="inlineStr">
        <is>
          <t>sp500_github</t>
        </is>
      </c>
    </row>
    <row r="61">
      <c r="A61" t="inlineStr">
        <is>
          <t>META</t>
        </is>
      </c>
      <c r="B61" t="inlineStr">
        <is>
          <t>us_mega_cap</t>
        </is>
      </c>
      <c r="C61" t="inlineStr">
        <is>
          <t>Meta Platforms</t>
        </is>
      </c>
      <c r="F61" t="inlineStr">
        <is>
          <t>sp500_github</t>
        </is>
      </c>
    </row>
    <row r="62">
      <c r="A62" t="inlineStr">
        <is>
          <t>JNJ</t>
        </is>
      </c>
      <c r="B62" t="inlineStr">
        <is>
          <t>us_quality_dividend</t>
        </is>
      </c>
      <c r="C62" t="inlineStr">
        <is>
          <t>Johnson &amp; Johnson</t>
        </is>
      </c>
      <c r="F62" t="inlineStr">
        <is>
          <t>sp500_github</t>
        </is>
      </c>
    </row>
    <row r="63">
      <c r="A63" t="inlineStr">
        <is>
          <t>PG</t>
        </is>
      </c>
      <c r="B63" t="inlineStr">
        <is>
          <t>us_quality_dividend</t>
        </is>
      </c>
      <c r="C63" t="inlineStr">
        <is>
          <t>Procter &amp; Gamble</t>
        </is>
      </c>
      <c r="F63" t="inlineStr">
        <is>
          <t>sp500_github</t>
        </is>
      </c>
    </row>
    <row r="64">
      <c r="A64" t="inlineStr">
        <is>
          <t>KO</t>
        </is>
      </c>
      <c r="B64" t="inlineStr">
        <is>
          <t>us_quality_dividend</t>
        </is>
      </c>
      <c r="C64" t="inlineStr">
        <is>
          <t>Coca-Cola Company (The)</t>
        </is>
      </c>
      <c r="F64" t="inlineStr">
        <is>
          <t>sp500_github</t>
        </is>
      </c>
    </row>
    <row r="65">
      <c r="A65" t="inlineStr">
        <is>
          <t>PEP</t>
        </is>
      </c>
      <c r="B65" t="inlineStr">
        <is>
          <t>us_quality_dividend</t>
        </is>
      </c>
      <c r="C65" t="inlineStr">
        <is>
          <t>PepsiCo</t>
        </is>
      </c>
      <c r="F65" t="inlineStr">
        <is>
          <t>sp500_github</t>
        </is>
      </c>
    </row>
    <row r="66">
      <c r="A66" t="inlineStr">
        <is>
          <t>ABBV</t>
        </is>
      </c>
      <c r="B66" t="inlineStr">
        <is>
          <t>us_quality_dividend</t>
        </is>
      </c>
      <c r="C66" t="inlineStr">
        <is>
          <t>AbbVie</t>
        </is>
      </c>
      <c r="F66" t="inlineStr">
        <is>
          <t>sp500_github</t>
        </is>
      </c>
    </row>
    <row r="67">
      <c r="A67" t="inlineStr">
        <is>
          <t>HD</t>
        </is>
      </c>
      <c r="B67" t="inlineStr">
        <is>
          <t>us_quality_dividend</t>
        </is>
      </c>
      <c r="C67" t="inlineStr">
        <is>
          <t>Home Depot (The)</t>
        </is>
      </c>
      <c r="F67" t="inlineStr">
        <is>
          <t>sp500_github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7" customWidth="1" min="5" max="5"/>
    <col width="14" customWidth="1" min="6" max="6"/>
  </cols>
  <sheetData>
    <row r="1">
      <c r="A1" s="7" t="inlineStr">
        <is>
          <t>ticker</t>
        </is>
      </c>
      <c r="B1" s="7" t="inlineStr">
        <is>
          <t>date</t>
        </is>
      </c>
      <c r="C1" s="7" t="inlineStr">
        <is>
          <t>status</t>
        </is>
      </c>
      <c r="D1" s="7" t="inlineStr">
        <is>
          <t>risk_tag</t>
        </is>
      </c>
      <c r="E1" s="7" t="inlineStr">
        <is>
          <t>policy_tailwind</t>
        </is>
      </c>
      <c r="F1" s="7" t="inlineStr">
        <is>
          <t>thesis</t>
        </is>
      </c>
    </row>
    <row r="2">
      <c r="A2" t="inlineStr">
        <is>
          <t>SHB-A.ST</t>
        </is>
      </c>
      <c r="B2" t="inlineStr">
        <is>
          <t>2026-07-29</t>
        </is>
      </c>
      <c r="C2" t="inlineStr">
        <is>
          <t>see thesis text</t>
        </is>
      </c>
      <c r="F2" t="inlineStr">
        <is>
          <t>TBD - itemized 2026-07-13 from live Avanza snapshot, no stated reason for holding yet. Direktavkastning 5.58%, P/E 11.95. Next report 2026-07-15 (delarsrapport) - unrelated to the pending HB fondkonto exit (that was Handelsbanken funds, a different holding).</t>
        </is>
      </c>
    </row>
    <row r="3">
      <c r="A3" t="inlineStr">
        <is>
          <t>INVE-A.ST</t>
        </is>
      </c>
      <c r="B3" t="inlineStr">
        <is>
          <t>2026-07-29</t>
        </is>
      </c>
      <c r="C3" t="inlineStr">
        <is>
          <t>see thesis text</t>
        </is>
      </c>
      <c r="F3" t="inlineStr">
        <is>
          <t>TBD - itemized 2026-07-13 from live Avanza snapshot, no stated reason for holding yet. Direktavkastning 1.45%, P/E 6.22. Next report 2026-07-16 (delarsrapport).</t>
        </is>
      </c>
    </row>
    <row r="4">
      <c r="A4" t="inlineStr">
        <is>
          <t>Avanza Auto 3 (fund)</t>
        </is>
      </c>
      <c r="B4" t="inlineStr">
        <is>
          <t>2026-07-29</t>
        </is>
      </c>
      <c r="C4" t="inlineStr">
        <is>
          <t>see thesis text</t>
        </is>
      </c>
      <c r="F4" t="inlineStr">
        <is>
          <t>CONFIRMED from factsheet 2026-07-22: multi-asset fund, ~60% equity exposure (40-70% range) blended with bonds/alternatives, 0.39% total annual fee (0.35% management + ~0.04% transaction), recommended holding period 4 years. Low-cost diversified core holding - fits the 'secure' risk tier well (see investor_profile.json). Up +67.10% since purchase (as of 2026-07-13, stale).</t>
        </is>
      </c>
    </row>
    <row r="5">
      <c r="A5" t="inlineStr">
        <is>
          <t>Tundra Sustainable Frontier Fund A SEK</t>
        </is>
      </c>
      <c r="B5" t="inlineStr">
        <is>
          <t>2026-07-29</t>
        </is>
      </c>
      <c r="C5" t="inlineStr">
        <is>
          <t>see thesis text</t>
        </is>
      </c>
      <c r="F5" t="inlineStr">
        <is>
          <t>SOLD 2026-07-29 (user-confirmed EXECUTED, exact trade date not specified - sits within the 2026-07-22 to 2026-07-29 window): sale settled for 1,534.86 SEK proceeds (vs. the 1,563 SEK stale 2026-07-13 estimate used for planning - real settlement came in ~28 SEK lower). Tax-free inside the ISK (only broker fees applied). Reason: 2.6% total annual fee (6.7x Avanza Auto 3's 0.39%) was unjustifiable fee drag - lever #2. Proceeds folded into the avanza-isk cash holding, which then funded part of the Avanza Global purchase (see that holding). Was open question 14, now fully resolved and executed. History: CONFIRMED from factsheet 2026-07-22 as an actively managed frontier/EM equity fund, &gt;=80% frontier/EM, ESG exclusions, recommended holding period 5 years; cost basis 1,000 SEK, so realized gain ~534.86 SEK, tax-free.</t>
        </is>
      </c>
    </row>
    <row r="6">
      <c r="A6" t="inlineStr">
        <is>
          <t>COIN-XBT.ST</t>
        </is>
      </c>
      <c r="B6" t="inlineStr">
        <is>
          <t>2026-07-29</t>
        </is>
      </c>
      <c r="C6" t="inlineStr">
        <is>
          <t>see thesis text</t>
        </is>
      </c>
      <c r="F6" t="inlineStr">
        <is>
          <t>SEE ALSO open question 19 (2026-07-31): a candidate fee-drag switch to Valour Bitcoin Zero SEK (0% mgmt fee vs this certificate's 2.5-3.64%) is under evaluation - would preserve full BTC exposure (compatible with the hold decision below), not yet executed, spread/liquidity unverified. HOLD / SOFT-CAP DECISION 2026-07-22 (user-directed, REVERSES the earlier same-day trim): user will NOT sell any bitcoin for now. Total crypto (ETH 12,500 + COIN 16,503.12 = 29,003) stays at ~14.2% of the 203,754 SEK investable base, ABOVE the 10% high-risk-tier cap - user explicitly accepts the cap being breached for now ('if that means raising the crypto/high risk bar, then so be it for now'). Rationale: the active bullish BTC thesis (cycle position, mid-2028 halving) outweighs mechanical cap discipline at this time. SOFT-CAP mechanism instead of a sale: route this deployment and future monthly contributions to the secure/medium tiers so crypto DILUTES back toward 10% over time; revisit an actual trim only if crypto appreciates materially further (e.g. past ~15-16%). No tax event (nothing sold). Certificate-vs-self-custody (open Q13) remains SEPARATE; 'for now' answer is to KEEP the retained BTC in the ISK certificate - tax shelter beats the 2.5% fee at this size/horizon, and the user already holds direct/self-custody crypto via the ETH wallet. --- Original thesis (still held), user's own words: crypto is 'pretty low valued right now,' mid-2028 Bitcoin halving ahead, and there are 'positive buy-in signals now' - this is a cycle-position thesis for BTC exposure generally, not specific to the certificate structure. Separately, user has stated a structural preference for 'real bitcoin instead of certificates' going forward - see open_structural_questions for the certificate-vs-self-custody decision, not yet resolved. Factsheet CONFIRMED 2026-07-22: 2.5% annual management fee, tracks BTC ~1:1 before fees, no capital protection, high volatility/USD currency risk. Early redemption directly with the issuer incurs a 2% exit fee - does NOT apply to an ordinary exchange sale (broker fees apply instead). Live price CONFIRMED 2026-07-22 (user-reported from Avanza): market value 16,503.12 SEK (2,750.52/unit), up 36.39% (+4,403.12 SEK) since purchase (12,100 SEK cost basis for 6 units, consistent with the recorded 2,016.67/unit cost basis). Combined with the ETH wallet (12,500 SEK), total crypto exposure is now ~29,003.12 SEK - above both the 5% glidepath target and the 10% risk-tier cap; sizing decision pending, see open_structural_questions.</t>
        </is>
      </c>
    </row>
    <row r="7">
      <c r="A7" t="inlineStr">
        <is>
          <t>Avanza Global (fund)</t>
        </is>
      </c>
      <c r="B7" t="inlineStr">
        <is>
          <t>2026-07-29</t>
        </is>
      </c>
      <c r="C7" t="inlineStr">
        <is>
          <t>see thesis text</t>
        </is>
      </c>
      <c r="F7" t="inlineStr">
        <is>
          <t>SETTLED 2026-07-29 (user-confirmed EXECUTED - this was previously recommended as the secure-tier deployment core but had NOT been logged as bought; user flagged the logging gap 2026-07-29). Global equity index fund, ~0.1% fee, the secure-tier core per the 60/30/10 risk-tier framework (investor_profile.json). Of this 119,999 SEK, ~59,050 SEK is earmarked 'medium-pending' per open question 16 - intended for gradual tax-free migration into individual quality stocks (Visa, Schneider, and a Swedish pick are the first migrations being evaluated 2026-07-29), NOT a permanent secure-tier allocation. Concentration note (flagged 2026-07-22, still applies): a global index fund alone is ~70% US mega-cap-tech weighted - paired with a distinct diversifier sleeve per the original deployment plan when remaining cash allows. Ticker/ISIN not yet recorded - TBD.</t>
        </is>
      </c>
    </row>
    <row r="8">
      <c r="A8" t="inlineStr">
        <is>
          <t>ethereum</t>
        </is>
      </c>
      <c r="B8" t="inlineStr">
        <is>
          <t>2026-07-29</t>
        </is>
      </c>
      <c r="C8" t="inlineStr">
        <is>
          <t>see thesis text</t>
        </is>
      </c>
      <c r="F8" t="inlineStr">
        <is>
          <t>TBD</t>
        </is>
      </c>
    </row>
    <row r="9">
      <c r="A9" t="inlineStr">
        <is>
          <t>SU.PA</t>
        </is>
      </c>
      <c r="B9" t="inlineStr">
        <is>
          <t>2026-07-29</t>
        </is>
      </c>
      <c r="C9" t="inlineStr">
        <is>
          <t>candidate — not held</t>
        </is>
      </c>
      <c r="D9" t="inlineStr">
        <is>
          <t>med</t>
        </is>
      </c>
      <c r="E9" t="inlineStr">
        <is>
          <t>Western grid-buildout and energy-transition spending; data-center power demand.</t>
        </is>
      </c>
      <c r="F9" t="inlineStr">
        <is>
          <t>Electrification + data-center power demand (the 'shovel' of the AI build-out) + energy-efficiency, all policy-funded. Quality compounder with pricing power; genuinely sustainability-aligned (its product IS efficiency, not a bolt-on label). Fits the user's Europe + sustainability + growth preference. Highest-conviction of this set.</t>
        </is>
      </c>
    </row>
    <row r="10">
      <c r="A10" t="inlineStr">
        <is>
          <t>ASML.AS</t>
        </is>
      </c>
      <c r="B10" t="inlineStr">
        <is>
          <t>2026-07-29</t>
        </is>
      </c>
      <c r="C10" t="inlineStr">
        <is>
          <t>candidate — not held</t>
        </is>
      </c>
      <c r="D10" t="inlineStr">
        <is>
          <t>med</t>
        </is>
      </c>
      <c r="E10" t="inlineStr">
        <is>
          <t>US CHIPS Act + EU Chips Act reshoring subsidies drive fab build-out.</t>
        </is>
      </c>
      <c r="F10" t="inlineStr">
        <is>
          <t>Effective monopoly on EUV lithography — no advanced chip exists without its machines. Wide moat, high margins, secular semiconductor demand.</t>
        </is>
      </c>
    </row>
    <row r="11">
      <c r="A11" t="inlineStr">
        <is>
          <t>IFX.DE</t>
        </is>
      </c>
      <c r="B11" t="inlineStr">
        <is>
          <t>2026-07-29</t>
        </is>
      </c>
      <c r="C11" t="inlineStr">
        <is>
          <t>candidate — not held</t>
        </is>
      </c>
      <c r="D11" t="inlineStr">
        <is>
          <t>high</t>
        </is>
      </c>
      <c r="E11" t="inlineStr">
        <is>
          <t>EV adoption + electrification policy.</t>
        </is>
      </c>
      <c r="F11" t="inlineStr">
        <is>
          <t>European power-semiconductor leader levered to EV and industrial electrification — sustainability-adjacent growth.</t>
        </is>
      </c>
    </row>
    <row r="12">
      <c r="A12" t="inlineStr">
        <is>
          <t>IBE.MC</t>
        </is>
      </c>
      <c r="B12" t="inlineStr">
        <is>
          <t>2026-07-29</t>
        </is>
      </c>
      <c r="C12" t="inlineStr">
        <is>
          <t>candidate — not held</t>
        </is>
      </c>
      <c r="D12" t="inlineStr">
        <is>
          <t>low</t>
        </is>
      </c>
      <c r="E12" t="inlineStr">
        <is>
          <t>Renewable-energy subsidies and grid investment.</t>
        </is>
      </c>
      <c r="F12" t="inlineStr">
        <is>
          <t>Renewables-heavy regulated utility — a real sustainability holding and a steadier ballast within the medium tier.</t>
        </is>
      </c>
    </row>
    <row r="13">
      <c r="A13" t="inlineStr">
        <is>
          <t>NOVO-B.CO</t>
        </is>
      </c>
      <c r="B13" t="inlineStr">
        <is>
          <t>2026-07-29</t>
        </is>
      </c>
      <c r="C13" t="inlineStr">
        <is>
          <t>candidate — not held</t>
        </is>
      </c>
      <c r="D13" t="inlineStr">
        <is>
          <t>high</t>
        </is>
      </c>
      <c r="E13" t="inlineStr">
        <is>
          <t>Drug-pricing politics run AGAINST this one (US pricing pressure) — a headwind, flagged honestly.</t>
        </is>
      </c>
      <c r="F13" t="inlineStr">
        <is>
          <t>GLP-1 (obesity/diabetes) structural demand; dominant franchise, high margins.</t>
        </is>
      </c>
    </row>
    <row r="14">
      <c r="A14" t="inlineStr">
        <is>
          <t>TSM</t>
        </is>
      </c>
      <c r="B14" t="inlineStr">
        <is>
          <t>2026-07-29</t>
        </is>
      </c>
      <c r="C14" t="inlineStr">
        <is>
          <t>candidate — not held</t>
        </is>
      </c>
      <c r="D14" t="inlineStr">
        <is>
          <t>high</t>
        </is>
      </c>
      <c r="E14" t="inlineStr">
        <is>
          <t>Reshoring subsidies (CHIPS Act) fund its US fabs.</t>
        </is>
      </c>
      <c r="F14" t="inlineStr">
        <is>
          <t>The foundry essentially all advanced chips depend on; scale and process-node lead form a deep moat.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2" customWidth="1" min="4" max="4"/>
    <col width="16" customWidth="1" min="5" max="5"/>
    <col width="14" customWidth="1" min="6" max="6"/>
    <col width="14" customWidth="1" min="7" max="7"/>
    <col width="14" customWidth="1" min="8" max="8"/>
  </cols>
  <sheetData>
    <row r="1">
      <c r="A1" s="7" t="inlineStr">
        <is>
          <t>ticker</t>
        </is>
      </c>
      <c r="B1" s="7" t="inlineStr">
        <is>
          <t>name</t>
        </is>
      </c>
      <c r="C1" s="7" t="inlineStr">
        <is>
          <t>account_id</t>
        </is>
      </c>
      <c r="D1" s="7" t="inlineStr">
        <is>
          <t>committed_amount_sek</t>
        </is>
      </c>
      <c r="E1" s="7" t="inlineStr">
        <is>
          <t>committed_date</t>
        </is>
      </c>
      <c r="F1" s="7" t="inlineStr">
        <is>
          <t>status</t>
        </is>
      </c>
      <c r="G1" s="7" t="inlineStr">
        <is>
          <t>tier</t>
        </is>
      </c>
      <c r="H1" s="7" t="inlineStr">
        <is>
          <t>rationale</t>
        </is>
      </c>
    </row>
    <row r="2">
      <c r="A2" t="inlineStr">
        <is>
          <t>V</t>
        </is>
      </c>
      <c r="B2" t="inlineStr">
        <is>
          <t>Visa Inc.</t>
        </is>
      </c>
      <c r="C2" t="inlineStr">
        <is>
          <t>avanza-isk</t>
        </is>
      </c>
      <c r="D2" t="n">
        <v>6000</v>
      </c>
      <c r="E2" t="inlineStr">
        <is>
          <t>2026-07-29</t>
        </is>
      </c>
      <c r="F2" t="inlineStr">
        <is>
          <t>user-committed, execution not yet confirmed</t>
        </is>
      </c>
      <c r="G2" t="inlineStr">
        <is>
          <t>medium</t>
        </is>
      </c>
      <c r="H2" t="inlineStr">
        <is>
          <t>Data-confirmed quality anchor from the stacked funnel (rank_candidates.py): ~50% net margins, low realized risk (data_risk_score 25), payments-duopoly moat. CAUTION (root-caused and FIXED 2026-07-29): the ranker's PE of 8.7 was WRONG - SEC's share-count feed hadn't updated since 2010, fixed with a staleness guard - PE/EPS are null post-fix, not a false 8.7. Real-world PE is in the 30-35 range (premium, not cheap) per background knowledge, not live-fetched - buy the quality/moat thesis. REVISED 2026-08-02: resized from 7,500 to 6,000 SEK as part of a coordinated 5-name, 24,000 SEK allocation (Visa/Atlas Copco/healthcare pick/Schneider/Volvo), funded from idle Avanza ISK cash, overriding the original single-name commitment.</t>
        </is>
      </c>
    </row>
    <row r="3">
      <c r="A3" t="inlineStr">
        <is>
          <t>SU.PA</t>
        </is>
      </c>
      <c r="B3" t="inlineStr">
        <is>
          <t>Schneider Electric</t>
        </is>
      </c>
      <c r="C3" t="inlineStr">
        <is>
          <t>avanza-isk</t>
        </is>
      </c>
      <c r="D3" t="n">
        <v>4800</v>
      </c>
      <c r="E3" t="inlineStr">
        <is>
          <t>2026-07-29</t>
        </is>
      </c>
      <c r="F3" t="inlineStr">
        <is>
          <t>user-committed, execution not yet confirmed</t>
        </is>
      </c>
      <c r="G3" t="inlineStr">
        <is>
          <t>medium</t>
        </is>
      </c>
      <c r="H3" t="inlineStr">
        <is>
          <t>Thesis-driven pick (data/thesis_candidates.json) - electrification, data-center power demand, energy-transition policy tailwinds; sustainability-aligned. Momentum-only on free data (no US-style fundamentals available for European filers), so this is a thesis position sized deliberately small given it isn't fundamentally confirmed. REVISED 2026-08-02: resized from 5,000 to 4,800 SEK as part of a coordinated 5-name, 24,000 SEK allocation, funded from idle Avanza ISK cash, overriding the original single-name commitment.</t>
        </is>
      </c>
    </row>
    <row r="4">
      <c r="A4" t="inlineStr">
        <is>
          <t>ATCO-B.ST</t>
        </is>
      </c>
      <c r="B4" t="inlineStr">
        <is>
          <t>Atlas Copco B</t>
        </is>
      </c>
      <c r="C4" t="inlineStr">
        <is>
          <t>avanza-isk</t>
        </is>
      </c>
      <c r="D4" t="n">
        <v>6000</v>
      </c>
      <c r="E4" t="inlineStr">
        <is>
          <t>2026-08-02</t>
        </is>
      </c>
      <c r="F4" t="inlineStr">
        <is>
          <t>user-committed, execution not yet confirmed</t>
        </is>
      </c>
      <c r="G4" t="inlineStr">
        <is>
          <t>medium</t>
        </is>
      </c>
      <c r="H4" t="inlineStr">
        <is>
          <t>Part of the user's coordinated 5-name, 24,000 SEK allocation (2026-08-02), funded from idle Avanza ISK cash. No free fundamentals source (non-US filer, structural gap). Insider signal from Finansinspektionen is MIXED-TO-CAUTIONARY, not supportive: mostly option exercises plus two executives (Henrik Elmin, Sara Hagg Liljedal) selling (Avyttring) at 197.5-199.5 SEK, near/above the fetched price of 175.85 SEK (B shares). One small real buy (Kenneth Lagerborg, 7,000 sh, 2026-06-09, 161.57 SEK). B shares recommended over A (201.10 SEK) - same economic claim, voting-rights premium irrelevant at retail scale.</t>
        </is>
      </c>
    </row>
    <row r="5">
      <c r="A5" t="inlineStr">
        <is>
          <t>VOLV-B.ST</t>
        </is>
      </c>
      <c r="B5" t="inlineStr">
        <is>
          <t>Volvo AB B</t>
        </is>
      </c>
      <c r="C5" t="inlineStr">
        <is>
          <t>avanza-isk</t>
        </is>
      </c>
      <c r="D5" t="n">
        <v>2400</v>
      </c>
      <c r="E5" t="inlineStr">
        <is>
          <t>2026-08-02</t>
        </is>
      </c>
      <c r="F5" t="inlineStr">
        <is>
          <t>user-committed, execution not yet confirmed</t>
        </is>
      </c>
      <c r="G5" t="inlineStr">
        <is>
          <t>medium</t>
        </is>
      </c>
      <c r="H5" t="inlineStr">
        <is>
          <t>Part of the user's coordinated 5-name, 24,000 SEK allocation (2026-08-02), funded from idle Avanza ISK cash. No free fundamentals source (non-US filer, structural gap). Insider signal from Finansinspektionen is genuinely strong: board member Helena Stjernholm bought ~1.3M shares total at ~360 SEK on 2026-07-27, matching AB Volvo's actual fetched price (364.30 SEK) - real, recent, sizeable conviction buying, the best-evidenced leg of the five. NOTE: the same issuer search also returned CEO/CFO purchases at ~19 SEK, almost certainly a DIFFERENT listed entity (likely Volvo Car Group, separately listed) - excluded from this signal, not counted as supporting evidence.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s>
  <sheetData>
    <row r="1">
      <c r="A1" s="7" t="inlineStr">
        <is>
          <t>key</t>
        </is>
      </c>
      <c r="B1" s="7" t="inlineStr">
        <is>
          <t>value</t>
        </is>
      </c>
      <c r="C1" s="7" t="inlineStr">
        <is>
          <t>notes</t>
        </is>
      </c>
    </row>
    <row r="2">
      <c r="A2" t="inlineStr">
        <is>
          <t>base_currency</t>
        </is>
      </c>
      <c r="B2" t="inlineStr">
        <is>
          <t>SEK</t>
        </is>
      </c>
    </row>
    <row r="3">
      <c r="A3" t="inlineStr">
        <is>
          <t>max_drawdown_tolerance_pct</t>
        </is>
      </c>
      <c r="B3" t="n">
        <v>-30</v>
      </c>
      <c r="C3" t="inlineStr">
        <is>
          <t>Stated tolerance -30% (~57k SEK at current size). REVISED 2026-07-07: the goal is softer than previously recorded (see horizon) — not a hard deadline. That eases the original glidepath tension (a -30%</t>
        </is>
      </c>
    </row>
    <row r="4">
      <c r="A4" t="inlineStr">
        <is>
          <t>primary_goal</t>
        </is>
      </c>
      <c r="B4" t="inlineStr">
        <is>
          <t>Property purchase, nature UNCERTAIN (user statement 2026-07-07): 'not completely sure what I am saving for' — most likely an apartment or similar. One live idea: a Mediterranean vacation apartment, re</t>
        </is>
      </c>
    </row>
    <row r="5">
      <c r="A5" t="inlineStr">
        <is>
          <t>years_until_needed</t>
        </is>
      </c>
      <c r="B5" t="inlineStr">
        <is>
          <t>3-7 (SOFT — goal not committed; treat as flexible, not a hard deadline)</t>
        </is>
      </c>
      <c r="C5" t="inlineStr">
        <is>
          <t>soft, not a hard deadline</t>
        </is>
      </c>
    </row>
    <row r="6">
      <c r="A6" t="inlineStr">
        <is>
          <t>planned_monthly_contribution_sek</t>
        </is>
      </c>
      <c r="B6" t="inlineStr">
        <is>
          <t>1000-3000</t>
        </is>
      </c>
      <c r="C6" t="inlineStr">
        <is>
          <t>range, exact amount TBD</t>
        </is>
      </c>
    </row>
    <row r="7">
      <c r="A7" t="inlineStr">
        <is>
          <t>emergency_fund_months</t>
        </is>
      </c>
      <c r="B7" t="inlineStr">
        <is>
          <t>3-6</t>
        </is>
      </c>
      <c r="C7" t="inlineStr">
        <is>
          <t>Standard buffer confirmed 2026-07-04 — the portfolio's risk budget is genuine, not partly an emergency fund.</t>
        </is>
      </c>
    </row>
    <row r="8">
      <c r="A8" t="inlineStr">
        <is>
          <t>tier_secure_pct</t>
        </is>
      </c>
      <c r="B8" t="n">
        <v>60</v>
      </c>
      <c r="C8" t="inlineStr">
        <is>
          <t>broad index funds</t>
        </is>
      </c>
    </row>
    <row r="9">
      <c r="A9" t="inlineStr">
        <is>
          <t>tier_medium_pct</t>
        </is>
      </c>
      <c r="B9" t="n">
        <v>30</v>
      </c>
      <c r="C9" t="inlineStr">
        <is>
          <t>individual quality stocks</t>
        </is>
      </c>
    </row>
    <row r="10">
      <c r="A10" t="inlineStr">
        <is>
          <t>tier_high_pct</t>
        </is>
      </c>
      <c r="B10" t="n">
        <v>10</v>
      </c>
      <c r="C10" t="inlineStr">
        <is>
          <t>crypto, actively managed</t>
        </is>
      </c>
    </row>
    <row r="11">
      <c r="A11" t="inlineStr">
        <is>
          <t>contribution_routing_default</t>
        </is>
      </c>
      <c r="B11" t="inlineStr">
        <is>
          <t>100% of each monthly contribution to the SECURE tier (broad global index core, e.g. Avanza Global) by default - matches the user's own stated preference ('100% to secure by default') and does triple d</t>
        </is>
      </c>
    </row>
    <row r="12">
      <c r="A12" t="inlineStr">
        <is>
          <t>max_single_position_pct</t>
        </is>
      </c>
      <c r="B12" t="n">
        <v>15</v>
      </c>
    </row>
    <row r="13">
      <c r="A13" t="inlineStr">
        <is>
          <t>max_single_institution_pct</t>
        </is>
      </c>
      <c r="B13" t="n">
        <v>80</v>
      </c>
    </row>
    <row r="14">
      <c r="A14" t="inlineStr">
        <is>
          <t>max_annual_fee_drag_pct</t>
        </is>
      </c>
      <c r="B14" t="n">
        <v>0.4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s>
  <sheetData>
    <row r="1">
      <c r="A1" s="7" t="inlineStr">
        <is>
          <t>id</t>
        </is>
      </c>
      <c r="B1" s="7" t="inlineStr">
        <is>
          <t>date</t>
        </is>
      </c>
      <c r="C1" s="7" t="inlineStr">
        <is>
          <t>status</t>
        </is>
      </c>
      <c r="D1" s="7" t="inlineStr">
        <is>
          <t>text</t>
        </is>
      </c>
      <c r="E1" s="7" t="inlineStr">
        <is>
          <t>resolved_date</t>
        </is>
      </c>
      <c r="F1" s="7" t="inlineStr">
        <is>
          <t>resolution</t>
        </is>
      </c>
    </row>
    <row r="2">
      <c r="A2" t="inlineStr">
        <is>
          <t>1</t>
        </is>
      </c>
      <c r="B2" t="inlineStr">
        <is>
          <t>2026-07-29</t>
        </is>
      </c>
      <c r="C2" t="inlineStr">
        <is>
          <t>open</t>
        </is>
      </c>
      <c r="D2" t="inlineStr">
        <is>
          <t>Actual equity/bond split inside Auto 50 / Auto 75 (name-implied ~50/50 and ~75/25; confirm from factsheets - matters for exposure math until the exit executes).</t>
        </is>
      </c>
    </row>
    <row r="3">
      <c r="A3" t="inlineStr">
        <is>
          <t>2</t>
        </is>
      </c>
      <c r="B3" t="inlineStr">
        <is>
          <t>2026-07-29</t>
        </is>
      </c>
      <c r="C3" t="inlineStr">
        <is>
          <t>open</t>
        </is>
      </c>
      <c r="D3" t="inlineStr">
        <is>
          <t>ETH cost basis and acquisition dates (needed for any future K4 math).</t>
        </is>
      </c>
    </row>
    <row r="4">
      <c r="A4" t="inlineStr">
        <is>
          <t>3</t>
        </is>
      </c>
      <c r="B4" t="inlineStr">
        <is>
          <t>2026-07-29</t>
        </is>
      </c>
      <c r="C4" t="inlineStr">
        <is>
          <t>resolved</t>
        </is>
      </c>
      <c r="D4" t="inlineStr">
        <is>
          <t>Swedbank fund: current gain vs cost basis (feeds move-to-ISK calculation).</t>
        </is>
      </c>
      <c r="E4" t="inlineStr">
        <is>
          <t>2026-08-02</t>
        </is>
      </c>
      <c r="F4" t="inlineStr">
        <is>
          <t>User confirmed 2026-08-02: no Swedbank fund ever existed. This was a migration-time inference error - the real legacy holding was the SEB funds (SEB Europafond, SEB Nordenfond A, SEB Obligationsfond Flexibel A, SEB Sverigefond, SEB Global Focus C USD, SEB Emerging Markets C USD Lux, SEB Emerging Marketsfond), all sold 2026-07-08/09/10 and fully transferred to Avanza ISK 2026-07-20 (see Transactions sheet, account_id seb-fund, and the CASH_SEK row SEB fund proceeds...). Phantom Portfolio/Investment Thesis rows for Swedbank fund deleted.</t>
        </is>
      </c>
    </row>
    <row r="5">
      <c r="A5" t="inlineStr">
        <is>
          <t>5</t>
        </is>
      </c>
      <c r="B5" t="inlineStr">
        <is>
          <t>2026-07-29</t>
        </is>
      </c>
      <c r="C5" t="inlineStr">
        <is>
          <t>open</t>
        </is>
      </c>
      <c r="D5" t="inlineStr">
        <is>
          <t>Any OTHER undisclosed accounts? SEB and PayPal both surfaced only in passing - a one-time full inventory (every bank/broker login) would close this class of surprise, and is now overdue (2 surprise accounts in one week).</t>
        </is>
      </c>
    </row>
    <row r="6">
      <c r="A6" t="inlineStr">
        <is>
          <t>6</t>
        </is>
      </c>
      <c r="B6" t="inlineStr">
        <is>
          <t>2026-07-29</t>
        </is>
      </c>
      <c r="C6" t="inlineStr">
        <is>
          <t>open</t>
        </is>
      </c>
      <c r="D6" t="inlineStr">
        <is>
          <t>PayPal FX routing: what is PayPal's actual conversion fee/spread (do not assume ~3-4%, confirm from PayPal's fee schedule), and what is the cheapest path to get the 1,177.49 USD + 266.88 EUR (plus each ~750-1000 EUR recurring inflow) into SEK or into a wrapper without repeatedly paying it. Council ruling 2026-07-12: convert promptly via lowest-spread path, don't hold either currency waiting on FX levels - see reports/2026-07-07-council-memo.md Amendment 2026-07-12.</t>
        </is>
      </c>
    </row>
    <row r="7">
      <c r="A7" t="inlineStr">
        <is>
          <t>9</t>
        </is>
      </c>
      <c r="B7" t="inlineStr">
        <is>
          <t>2026-07-29</t>
        </is>
      </c>
      <c r="C7" t="inlineStr">
        <is>
          <t>open</t>
        </is>
      </c>
      <c r="D7" t="inlineStr">
        <is>
          <t>No thesis recorded for Handelsbanken A, Investor A - both still TBD. Avanza Auto 3 and COIN-XBT.ST now have context/thesis (see their holdings entries); Tundra's status is tied to open question 14.</t>
        </is>
      </c>
    </row>
    <row r="8">
      <c r="A8" t="inlineStr">
        <is>
          <t>10</t>
        </is>
      </c>
      <c r="B8" t="inlineStr">
        <is>
          <t>2026-07-29</t>
        </is>
      </c>
      <c r="C8" t="inlineStr">
        <is>
          <t>open</t>
        </is>
      </c>
      <c r="D8" t="inlineStr">
        <is>
          <t>hb-main + hb-checking tax reserve (9,017 + 611 + 1,750 pending = 11,378 SEK) has a residual ~115.28 SEK gap against the confirmed 11,493.28 SEK HB+SEB tax owed - user judged this 'enough for now' 2026-07-22, plans to top up further from other income before the 2027 deklaration. Low priority, monitor at deklaration prep, not urgent.</t>
        </is>
      </c>
    </row>
    <row r="9">
      <c r="A9" t="inlineStr">
        <is>
          <t>11</t>
        </is>
      </c>
      <c r="B9" t="inlineStr">
        <is>
          <t>2026-07-29</t>
        </is>
      </c>
      <c r="C9" t="inlineStr">
        <is>
          <t>open</t>
        </is>
      </c>
      <c r="D9" t="inlineStr">
        <is>
          <t>hb-checking (611 SEK, newly disclosed 2026-07-22) and the broader account-inventory question (#5) - is this genuinely the last undisclosed account, or should a one-time full inventory still happen?</t>
        </is>
      </c>
    </row>
    <row r="10">
      <c r="A10" t="inlineStr">
        <is>
          <t>12</t>
        </is>
      </c>
      <c r="B10" t="inlineStr">
        <is>
          <t>2026-07-29</t>
        </is>
      </c>
      <c r="C10" t="inlineStr">
        <is>
          <t>open</t>
        </is>
      </c>
      <c r="D10" t="inlineStr">
        <is>
          <t>avanza-isk's non-cash holdings re-itemization - PARTIALLY RESOLVED 2026-07-31: SHB-A.ST and INVE-A.ST now fetch real, fresh prices again (fetch_equities() fixed, see IMPROVEMENTS #17) - price 146.15 / 406.40 SEK respectively as of 2026-07-31, still no fundamentals (no free source for non-US names). Avanza Auto 3 and Avanza Global will NEVER get exchange-fetched prices - see their no_ticker_reason fields, this is structural not pending. (Correction 2026-08-02: a third TBD unlisted-fund row, Swedbank fund, previously listed here was a migration-time error and has been deleted - see Notes id 3.) COIN-XBT.ST remains unresolved (ticker does not match Yahoo under any tried variant) - see open question 13/19 below, may be moot if the Valour Bitcoin Zero switch happens.</t>
        </is>
      </c>
    </row>
    <row r="11">
      <c r="A11" t="inlineStr">
        <is>
          <t>13</t>
        </is>
      </c>
      <c r="B11" t="inlineStr">
        <is>
          <t>2026-07-29</t>
        </is>
      </c>
      <c r="C11" t="inlineStr">
        <is>
          <t>open</t>
        </is>
      </c>
      <c r="D11" t="inlineStr">
        <is>
          <t>COIN-XBT.ST certificate vs. self-custody 'real bitcoin' - user stated 2026-07-22 a preference to eventually hold direct BTC instead of the certificate. Tax mechanics not simple: selling the certificate inside the ISK is tax-free, but moving proceeds to self-custody BTC permanently exits ISK's tax shelter for that capital and every future disposal becomes a 30% K4 event (same regime as the ETH wallet). Also loses the certificate's 2% issuer-redemption-fee risk (moot if sold via exchange) but gains self-custody key-management risk. Not yet decided - Council recommendation given in the 2026-07-22 chat exchange, pending user confirmation. NOTE 2026-07-31: this is a SEPARATE question from #19 (certificate-vs-certificate fee switch) - resolving #19 does not resolve this one, and vice versa.</t>
        </is>
      </c>
    </row>
    <row r="12">
      <c r="A12" t="inlineStr">
        <is>
          <t>16</t>
        </is>
      </c>
      <c r="B12" t="inlineStr">
        <is>
          <t>2026-07-29</t>
        </is>
      </c>
      <c r="C12" t="inlineStr">
        <is>
          <t>open</t>
        </is>
      </c>
      <c r="D12" t="inlineStr">
        <is>
          <t>MEDIUM-TIER MIGRATION (in progress, phase-in adopted 2026-07-22): the intended ~59,050 SEK medium-tier allocation (30% of the investable base, less the ~2,076 already in SHB-A/INVE-A) is parked inside the Avanza Global holding (settled 2026-07-29, 119,999 SEK) as a 'medium-pending' earmark, to be migrated into individual quality stocks ONE vetted position at a time (tax-free inside ISK). FIRST MIGRATIONS IN FLIGHT 2026-07-29: Visa 7,500 SEK + Schneider Electric 5,000 SEK, both stacked-funnel-vetted (see pending_executions) - together ~12,500 of the ~59,050 target, pending execution confirmation. A Swedish pick (Atlas Copco, ATCO-A.ST, top-ranked on momentum among Nordic large caps) was also identified 2026-07-29 as a candidate but no amount has been committed yet. Roughly one 5-10k position per sweep, holding risk level roughly constant per the medium-tier definition. NOT a fixed-percentage relaxation - the 30% target stands; only the timing is phased.</t>
        </is>
      </c>
    </row>
    <row r="13">
      <c r="A13" t="inlineStr">
        <is>
          <t>19</t>
        </is>
      </c>
      <c r="B13" t="inlineStr">
        <is>
          <t>2026-07-29</t>
        </is>
      </c>
      <c r="C13" t="inlineStr">
        <is>
          <t>open</t>
        </is>
      </c>
      <c r="D13" t="inlineStr">
        <is>
          <t>NEW 2026-07-31 (user-sourced candidate): switch COIN-XBT.ST (CoinShares XBT Provider, 2.5% mgmt fee per 2026-07-22 factsheet - though a third-party aggregator cites 3.64% total expense ratio for the same product, discrepancy NOT yet resolved, re-check the live factsheet) for Valour Bitcoin Zero SEK (ISIN CH0585378661, 0% management fee, confirmed real via web search 2026-07-31 - see chat for sources). Same underlying BTC exposure preserved throughout - NOT a reduction in crypto allocation, fully compatible with the 2026-07-22 hold/soft-cap decision. Tax-free inside ISK either way (ordinary exchange sale + purchase, no capital-gains event). Verified: real product, trades on Nordic MTF (part of NGM), directly purchasable on Avanza (found the exact Avanza product page, id 1164452), physically backed via tier-1 custodians (Copper, Komainu) - comparable structure to CoinShares, though Valour is a newer/smaller issuer. NOT YET VERIFIED (must check before executing): (a) the live bid-ask spread on the Nordic MTF listing - a 'zero management fee' product can still cost money via a wider spread, this is the single biggest unverified variable; (b) minimum brokerage fee mentioned in Swedish sources as 19 SEK for this specific product - confirm on Avanza's actual order ticket; (c) exact Nasdaq/Avanza-internal ticker (have ISIN + Avanza product ID, not a Yahoo-compatible ticker - per this system's own rule, not guessing one). Not yet decided - see chat 2026-07-31 for full analysis. Would need a separate SELL COIN-XBT.ST + BUY Valour Bitcoin Zero SEK pair of trades if approved.</t>
        </is>
      </c>
    </row>
    <row r="14">
      <c r="A14" t="n">
        <v>13</v>
      </c>
      <c r="B14" t="inlineStr">
        <is>
          <t>2026-07-07</t>
        </is>
      </c>
      <c r="C14" t="inlineStr">
        <is>
          <t>resolved</t>
        </is>
      </c>
      <c r="D14" t="inlineStr">
        <is>
          <t>Handelsbanken wrapper is FONDKONTO (AF), confirmed by user. Was question 1 / the blocking question since 2026-07-03. Consequence: exit plan hb-af-exit.</t>
        </is>
      </c>
      <c r="E14" t="inlineStr">
        <is>
          <t>2026-07-07</t>
        </is>
      </c>
    </row>
    <row r="15">
      <c r="A15" t="n">
        <v>14</v>
      </c>
      <c r="B15" t="inlineStr">
        <is>
          <t>2026-07-07</t>
        </is>
      </c>
      <c r="C15" t="inlineStr">
        <is>
          <t>resolved</t>
        </is>
      </c>
      <c r="D15" t="inlineStr">
        <is>
          <t>Handelsbanken fund fees - Auto 50 Criteria 0.66%/yr total cost, Auto 75 Criteria 0.67%/yr total cost (user-confirmed).</t>
        </is>
      </c>
      <c r="E15" t="inlineStr">
        <is>
          <t>2026-07-07</t>
        </is>
      </c>
    </row>
    <row r="16">
      <c r="A16" t="n">
        <v>15</v>
      </c>
      <c r="B16" t="inlineStr">
        <is>
          <t>2026-07-12</t>
        </is>
      </c>
      <c r="C16" t="inlineStr">
        <is>
          <t>resolved</t>
        </is>
      </c>
      <c r="D16" t="inlineStr">
        <is>
          <t>HB fund sale EXECUTED - actual proceeds 133,657.41 SEK (gain 28,186.20, tax 8,455.86), plus 2,954.42 SEK pre-existing cash, total 136,611.83 SEK now sitting as cash in hb-main awaiting ISK transfer. See exit_plans.hb-af-exit.actual_execution.</t>
        </is>
      </c>
      <c r="E16" t="inlineStr">
        <is>
          <t>2026-07-12</t>
        </is>
      </c>
    </row>
    <row r="17">
      <c r="A17" t="n">
        <v>16</v>
      </c>
      <c r="B17" t="inlineStr">
        <is>
          <t>2026-07-12</t>
        </is>
      </c>
      <c r="C17" t="inlineStr">
        <is>
          <t>resolved</t>
        </is>
      </c>
      <c r="D17" t="inlineStr">
        <is>
          <t>SEB transaction column semantics clarified (Datum, Kontotext, Insattning, Uttag, Saldo) - confirmed sold proceeds 13,558.12 SEK, self-consistent against the running Saldo balance.</t>
        </is>
      </c>
      <c r="E17" t="inlineStr">
        <is>
          <t>2026-07-12</t>
        </is>
      </c>
    </row>
    <row r="18">
      <c r="A18" t="n">
        <v>17</v>
      </c>
      <c r="B18" t="inlineStr">
        <is>
          <t>2026-07-13</t>
        </is>
      </c>
      <c r="C18" t="inlineStr">
        <is>
          <t>resolved</t>
        </is>
      </c>
      <c r="D18" t="inlineStr">
        <is>
          <t>SEB fully sold and settled, final figure 17,382.43 SEK (user-confirmed) - close to the original ~18,000 SEK estimate, not the ~46k SEK a column misread had implied.</t>
        </is>
      </c>
      <c r="E18" t="inlineStr">
        <is>
          <t>2026-07-13</t>
        </is>
      </c>
    </row>
    <row r="19">
      <c r="A19" t="n">
        <v>18</v>
      </c>
      <c r="B19" t="inlineStr">
        <is>
          <t>2026-07-13</t>
        </is>
      </c>
      <c r="C19" t="inlineStr">
        <is>
          <t>resolved</t>
        </is>
      </c>
      <c r="D19" t="inlineStr">
        <is>
          <t>Avanza ISK holdings fully itemized from a live user snapshot - 2 stocks, 2 funds, 1 crypto certificate, plus 565 SEK cash, exact total 36,120 SEK. Prior 15%-single-position-cap concern (18.7% if it were one holding) is moot - no individual holding breaches the cap.</t>
        </is>
      </c>
      <c r="E19" t="inlineStr">
        <is>
          <t>2026-07-13</t>
        </is>
      </c>
    </row>
    <row r="20">
      <c r="A20" t="n">
        <v>19</v>
      </c>
      <c r="B20" t="inlineStr">
        <is>
          <t>2026-07-20</t>
        </is>
      </c>
      <c r="C20" t="inlineStr">
        <is>
          <t>resolved</t>
        </is>
      </c>
      <c r="D20" t="inlineStr">
        <is>
          <t>SEB fund realized gain and tax CONFIRMED from user-supplied 2026 tax-year figures (7 fund lots sold 2026-07-08 to 2026-07-10) - total kapitalvinst 10,124.74 SEK, tax at 30% = 3,037.42 SEK. Materially higher than the earlier ~1,200 SEK placeholder. See seb-fund.confirmed_tax_owed_sek and tax_breakdown_by_fund for the full detail. Consequence: the 9,000 SEK hb-main tax reserve is confirmed short by 2,493.28 SEK against the combined 11,493.28 SEK HB+SEB tax owed - see open question 10.</t>
        </is>
      </c>
      <c r="E20" t="inlineStr">
        <is>
          <t>2026-07-20</t>
        </is>
      </c>
    </row>
    <row r="21">
      <c r="A21" t="n">
        <v>20</v>
      </c>
      <c r="B21" t="inlineStr">
        <is>
          <t>2026-07-22</t>
        </is>
      </c>
      <c r="C21" t="inlineStr">
        <is>
          <t>resolved</t>
        </is>
      </c>
      <c r="D21" t="inlineStr">
        <is>
          <t>SEB per-fund cost basis and sale proceeds obtained (not just the gain figures) - see seb-fund.tax_breakdown_by_fund for full detail, useful for K4 filing.</t>
        </is>
      </c>
      <c r="E21" t="inlineStr">
        <is>
          <t>2026-07-22</t>
        </is>
      </c>
    </row>
    <row r="22">
      <c r="A22" t="n">
        <v>21</v>
      </c>
      <c r="B22" t="inlineStr">
        <is>
          <t>2026-07-22</t>
        </is>
      </c>
      <c r="C22" t="inlineStr">
        <is>
          <t>resolved</t>
        </is>
      </c>
      <c r="D22" t="inlineStr">
        <is>
          <t>Annual fee percentages confirmed from factsheets for all three previously-unknown holdings - Avanza Auto 3 0.39% (0.35% mgmt + ~0.04% transaction), Tundra Sustainable Frontier 2.6% (2.5% mgmt + ~0.1% transaction), COIN-XBT.ST certificate 2.5% (mgmt only, plus a 2% issuer-redemption exit fee that does not apply to ordinary exchange sales). Fee-drag scorecard row is now gradable. Was open question 8.</t>
        </is>
      </c>
      <c r="E22" t="inlineStr">
        <is>
          <t>2026-07-22</t>
        </is>
      </c>
    </row>
    <row r="23">
      <c r="A23" t="n">
        <v>22</v>
      </c>
      <c r="C23" t="inlineStr">
        <is>
          <t>resolved</t>
        </is>
      </c>
      <c r="D23" t="inlineStr">
        <is>
          <t>RESOLVED 2026-07-22 (partially): a thesis now exists for COIN-XBT.ST (user's cycle-position view on BTC generally) - the standing trim-default question (former open question 7) is superseded by a broader certificate-vs-self-custody decision, see open question 13.</t>
        </is>
      </c>
    </row>
    <row r="24">
      <c r="A24" t="n">
        <v>23</v>
      </c>
      <c r="B24" t="inlineStr">
        <is>
          <t>2026-07-22</t>
        </is>
      </c>
      <c r="C24" t="inlineStr">
        <is>
          <t>resolved</t>
        </is>
      </c>
      <c r="D24" t="inlineStr">
        <is>
          <t>Risk-tier framework REVISED to 60/30/10 (from 70/20/10) at user's direction - see investor_profile.json risk_tier_framework_proposed.</t>
        </is>
      </c>
      <c r="E24" t="inlineStr">
        <is>
          <t>2026-07-22</t>
        </is>
      </c>
    </row>
    <row r="25">
      <c r="A25" t="n">
        <v>24</v>
      </c>
      <c r="B25" t="inlineStr">
        <is>
          <t>2026-07-22</t>
        </is>
      </c>
      <c r="C25" t="inlineStr">
        <is>
          <t>resolved</t>
        </is>
      </c>
      <c r="D25" t="inlineStr">
        <is>
          <t>Open question 14 (Tundra Sustainable Frontier) - user decided to SELL in full (2.6% fee unjustifiable). Tax-free inside ISK. Proceeds recycle to secure tier. See the Tundra holding thesis. Awaiting execution.</t>
        </is>
      </c>
      <c r="E25" t="inlineStr">
        <is>
          <t>2026-07-22</t>
        </is>
      </c>
    </row>
    <row r="26">
      <c r="A26" t="n">
        <v>25</v>
      </c>
      <c r="B26" t="inlineStr">
        <is>
          <t>2026-07-22</t>
        </is>
      </c>
      <c r="C26" t="inlineStr">
        <is>
          <t>resolved</t>
        </is>
      </c>
      <c r="D26" t="inlineStr">
        <is>
          <t>Open question 15 (equity/fixed-income split) - user directed near-zero fixed income and explicitly accepts total equity &gt;70% ('the push of equity above 70% is fine'). The 50/40 equity/FI glidepath target is superseded by the tier framework; any ballast should be a very small short-duration/money-market sleeve, not traditional bonds. See investor_profile.json risk_tier_framework_proposed.fixed_income_stance. NOTE: this spawned new open question 16 (how to fill the 30% medium tier).</t>
        </is>
      </c>
      <c r="E26" t="inlineStr">
        <is>
          <t>2026-07-22</t>
        </is>
      </c>
    </row>
    <row r="27">
      <c r="A27" t="n">
        <v>26</v>
      </c>
      <c r="B27" t="inlineStr">
        <is>
          <t>2026-07-22</t>
        </is>
      </c>
      <c r="C27" t="inlineStr">
        <is>
          <t>resolved</t>
        </is>
      </c>
      <c r="D27" t="inlineStr">
        <is>
          <t>Medium-tier fill (open Q16) - user chose PHASE-IN (option b): park the intended ~59,050 SEK in the Avanza Global secure core now, migrate into individual stocks one vetted position at a time (tax-free in ISK). 30% target stands; timing phased. Q16 reworded to track the migration.</t>
        </is>
      </c>
      <c r="E27" t="inlineStr">
        <is>
          <t>2026-07-22</t>
        </is>
      </c>
    </row>
    <row r="28">
      <c r="A28" t="n">
        <v>27</v>
      </c>
      <c r="B28" t="inlineStr">
        <is>
          <t>2026-07-22</t>
        </is>
      </c>
      <c r="C28" t="inlineStr">
        <is>
          <t>resolved</t>
        </is>
      </c>
      <c r="D28" t="inlineStr">
        <is>
          <t>Crypto cap - user chose HOLD / SOFT-CAP (REVERSED an earlier same-day trim decision): will NOT sell any bitcoin for now, explicitly accepts crypto staying above the 10% cap (~14.2%) in favour of the active BTC thesis. Dilute back toward 10% via contributions/deployment routing rather than a sale; revisit a trim only if crypto appreciates materially further. Certificate-vs-self-custody (open Q13): keep retained BTC in the ISK certificate for now (tax shelter beats the 2.5% fee at this size/horizon). See COIN-XBT.ST holding.</t>
        </is>
      </c>
      <c r="E28" t="inlineStr">
        <is>
          <t>2026-07-22</t>
        </is>
      </c>
    </row>
    <row r="29">
      <c r="A29" t="n">
        <v>28</v>
      </c>
      <c r="B29" t="inlineStr">
        <is>
          <t>2026-07-29</t>
        </is>
      </c>
      <c r="C29" t="inlineStr">
        <is>
          <t>resolved</t>
        </is>
      </c>
      <c r="D29" t="inlineStr">
        <is>
          <t>Tundra Sustainable Frontier SALE EXECUTED - 1,534.86 SEK proceeds confirmed by user (vs. 1,563 SEK stale estimate), tax-free in ISK. Quantity now 0. See the Tundra holding.</t>
        </is>
      </c>
      <c r="E29" t="inlineStr">
        <is>
          <t>2026-07-29</t>
        </is>
      </c>
    </row>
    <row r="30">
      <c r="A30" t="n">
        <v>29</v>
      </c>
      <c r="B30" t="inlineStr">
        <is>
          <t>2026-07-29</t>
        </is>
      </c>
      <c r="C30" t="inlineStr">
        <is>
          <t>resolved</t>
        </is>
      </c>
      <c r="D30" t="inlineStr">
        <is>
          <t>Avanza Global purchase EXECUTED for 119,999 SEK - user flagged this had NOT been logged despite being mentioned days earlier; portfolio.json now reflects it as a settled holding, and a new `pending_executions` tracker was added so future committed-but-unsettled trades (Visa, Schneider) don't repeat this gap. See the Avanza Global holding and IMPROVEMENTS #14.</t>
        </is>
      </c>
      <c r="E30" t="inlineStr">
        <is>
          <t>2026-07-29</t>
        </is>
      </c>
    </row>
    <row r="31">
      <c r="A31" t="n">
        <v>30</v>
      </c>
      <c r="B31" t="inlineStr">
        <is>
          <t>2026-07-29</t>
        </is>
      </c>
      <c r="C31" t="inlineStr">
        <is>
          <t>resolved</t>
        </is>
      </c>
      <c r="D31" t="inlineStr">
        <is>
          <t>avanza-isk cash RECONCILED to 26,399.86 SEK (144,864 prior confirmed cash - 119,999 Avanza Global purchase + 1,534.86 Tundra proceeds) - a computed figure the user should verify at next login.</t>
        </is>
      </c>
      <c r="E31" t="inlineStr">
        <is>
          <t>2026-07-29</t>
        </is>
      </c>
    </row>
    <row r="32">
      <c r="A32" t="inlineStr">
        <is>
          <t>sweep-2026-08-02</t>
        </is>
      </c>
      <c r="B32" t="inlineStr">
        <is>
          <t>2026-08-02</t>
        </is>
      </c>
      <c r="C32" t="inlineStr">
        <is>
          <t>open</t>
        </is>
      </c>
      <c r="D32" t="inlineStr">
        <is>
          <t>First sweep under consolidated single-report format (reports/2026-08-02-sweep.md), nothing to reconcile against. Headline items: (1) Two Pending Orders awaiting execution confirmation - Visa 7,500 SEK and Schneider Electric (SU.PA) 5,000 SEK, both committed 2026-07-29. (2) Settings sheet contribution_routing_default still says 100% to Secure tier, conflicts with current Medium-tier priority given 90.1%-vs-60% Secure drift - needs update. (3) Open decision: whether to write SHB-A.ST/INVE-A.ST theses now on insider-buying signal (Boman/Lundberg SHB-A.ST, Cederholm INVE-A.ST) vs wait for confirmed fundamentals (INVE-A.ST CIK fetch broken, SHB-A.ST PE is manual override); both at/near 52w highs, no written thesis exists. (4) Open decision: Swedbank AF fund cost basis unknown - request from Swedbank statement vs leave as legacy holding.</t>
        </is>
      </c>
    </row>
    <row r="33">
      <c r="A33" t="inlineStr">
        <is>
          <t>31</t>
        </is>
      </c>
      <c r="B33" t="inlineStr">
        <is>
          <t>2026-08-02</t>
        </is>
      </c>
      <c r="C33" t="inlineStr">
        <is>
          <t>open</t>
        </is>
      </c>
      <c r="D33" t="inlineStr">
        <is>
          <t>Coordinated 5-name, 24,000 SEK Avanza ISK cash deployment (2026-08-02): Visa (V, 6,000 SEK), Atlas Copco (ATCO-B.ST, 6,000 SEK), Schneider Electric (SU.PA, 4,800 SEK), Volvo AB (VOLV-B.ST, 2,400 SEK) all recorded as Pending Orders. Healthcare pick (4,800 SEK, 20%) still undecided between Stryker (SYK, real P/E ~38.5x, margin 12.9%, revenue growth 11.2%, ROE 27.7%) and Abbott (ABT, real P/E ~28.2x, margin 14.7%, revenue growth 5.7%, ROE 12.5%) - both verified via SEC data; Novo Nordisk considered but has zero fundamentals/insider data available in this system (Danish issuer, outside every free source used) so it would be bought on reputation, not verified data. Resolve before executing the healthcare leg.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s>
  <sheetData>
    <row r="1">
      <c r="A1" s="7" t="inlineStr">
        <is>
          <t>ticker</t>
        </is>
      </c>
      <c r="B1" s="7" t="inlineStr">
        <is>
          <t>field</t>
        </is>
      </c>
      <c r="C1" s="7" t="inlineStr">
        <is>
          <t>value</t>
        </is>
      </c>
      <c r="D1" s="7" t="inlineStr">
        <is>
          <t>currency</t>
        </is>
      </c>
      <c r="E1" s="7" t="inlineStr">
        <is>
          <t>as_of</t>
        </is>
      </c>
      <c r="F1" s="7" t="inlineStr">
        <is>
          <t>source</t>
        </is>
      </c>
      <c r="G1" s="7" t="inlineStr">
        <is>
          <t>notes</t>
        </is>
      </c>
    </row>
    <row r="2">
      <c r="A2" t="inlineStr">
        <is>
          <t>SHB-A.ST</t>
        </is>
      </c>
      <c r="B2" t="inlineStr">
        <is>
          <t>trailing_pe</t>
        </is>
      </c>
      <c r="C2" t="n">
        <v>11.8</v>
      </c>
      <c r="E2" t="inlineStr">
        <is>
          <t>2026-08-02</t>
        </is>
      </c>
      <c r="F2" t="inlineStr">
        <is>
          <t>user, Avanza app</t>
        </is>
      </c>
      <c r="G2" t="inlineStr">
        <is>
          <t>P/E not available from free automated sources for Swedish tickers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8" customWidth="1" min="5" max="5"/>
    <col width="14" customWidth="1" min="6" max="6"/>
    <col width="14" customWidth="1" min="7" max="7"/>
  </cols>
  <sheetData>
    <row r="1">
      <c r="A1" s="7" t="inlineStr">
        <is>
          <t>ticker</t>
        </is>
      </c>
      <c r="B1" s="7" t="inlineStr">
        <is>
          <t>last_price</t>
        </is>
      </c>
      <c r="C1" s="7" t="inlineStr">
        <is>
          <t>currency</t>
        </is>
      </c>
      <c r="D1" s="7" t="inlineStr">
        <is>
          <t>price_as_of</t>
        </is>
      </c>
      <c r="E1" s="7" t="inlineStr">
        <is>
          <t>market_value_sek</t>
        </is>
      </c>
      <c r="F1" s="7" t="inlineStr">
        <is>
          <t>fetch_status</t>
        </is>
      </c>
      <c r="G1" s="7" t="inlineStr">
        <is>
          <t>data_source</t>
        </is>
      </c>
    </row>
    <row r="2">
      <c r="A2" t="inlineStr">
        <is>
          <t>CASH_SEK</t>
        </is>
      </c>
      <c r="B2" t="n">
        <v>1</v>
      </c>
      <c r="C2" t="inlineStr">
        <is>
          <t>SEK</t>
        </is>
      </c>
      <c r="D2" t="inlineStr">
        <is>
          <t>2026-08-02T18:13:39.316480+00:00</t>
        </is>
      </c>
      <c r="E2" t="n">
        <v>1</v>
      </c>
      <c r="F2" t="inlineStr">
        <is>
          <t>N/A</t>
        </is>
      </c>
      <c r="G2" t="inlineStr">
        <is>
          <t>cash</t>
        </is>
      </c>
    </row>
    <row r="3">
      <c r="A3" t="inlineStr">
        <is>
          <t>CASH_USD</t>
        </is>
      </c>
      <c r="B3" t="n">
        <v>1</v>
      </c>
      <c r="C3" t="inlineStr">
        <is>
          <t>USD</t>
        </is>
      </c>
      <c r="D3" t="inlineStr">
        <is>
          <t>2026-08-02T18:13:39.316480+00:00</t>
        </is>
      </c>
      <c r="E3" t="n">
        <v>9.6998</v>
      </c>
      <c r="F3" t="inlineStr">
        <is>
          <t>N/A</t>
        </is>
      </c>
      <c r="G3" t="inlineStr">
        <is>
          <t>cash</t>
        </is>
      </c>
    </row>
    <row r="4">
      <c r="A4" t="inlineStr">
        <is>
          <t>CASH_EUR</t>
        </is>
      </c>
      <c r="B4" t="n">
        <v>1</v>
      </c>
      <c r="C4" t="inlineStr">
        <is>
          <t>EUR</t>
        </is>
      </c>
      <c r="D4" t="inlineStr">
        <is>
          <t>2026-08-02T18:13:39.316480+00:00</t>
        </is>
      </c>
      <c r="E4" t="n">
        <v>11.0432</v>
      </c>
      <c r="F4" t="inlineStr">
        <is>
          <t>N/A</t>
        </is>
      </c>
      <c r="G4" t="inlineStr">
        <is>
          <t>cash</t>
        </is>
      </c>
    </row>
    <row r="5">
      <c r="A5" t="inlineStr">
        <is>
          <t>COIN-XBT.ST</t>
        </is>
      </c>
      <c r="D5" t="inlineStr">
        <is>
          <t>2026-08-02T18:13:39.316480+00:00</t>
        </is>
      </c>
      <c r="F5" t="inlineStr">
        <is>
          <t>ERROR</t>
        </is>
      </c>
      <c r="G5" t="inlineStr">
        <is>
          <t>yfinance</t>
        </is>
      </c>
    </row>
    <row r="6">
      <c r="A6" t="inlineStr">
        <is>
          <t>TBD-Avanza Auto 3 (fund)</t>
        </is>
      </c>
      <c r="E6" t="n">
        <v>9800.299999999999</v>
      </c>
      <c r="F6" t="inlineStr">
        <is>
          <t>N/A (permanent)</t>
        </is>
      </c>
      <c r="G6" t="inlineStr">
        <is>
          <t>unlisted_fund</t>
        </is>
      </c>
    </row>
    <row r="7">
      <c r="A7" t="inlineStr">
        <is>
          <t>TBD-Tundra Sustainable Frontier Fund A SEK</t>
        </is>
      </c>
      <c r="C7" t="inlineStr">
        <is>
          <t>SEK</t>
        </is>
      </c>
      <c r="E7" t="n">
        <v>1000</v>
      </c>
      <c r="F7" t="inlineStr">
        <is>
          <t>N/A</t>
        </is>
      </c>
      <c r="G7" t="inlineStr">
        <is>
          <t>unlisted_fund</t>
        </is>
      </c>
    </row>
    <row r="8">
      <c r="A8" t="inlineStr">
        <is>
          <t>TBD-Avanza Global (fund)</t>
        </is>
      </c>
      <c r="C8" t="inlineStr">
        <is>
          <t>SEK</t>
        </is>
      </c>
      <c r="E8" t="n">
        <v>119999</v>
      </c>
      <c r="F8" t="inlineStr">
        <is>
          <t>N/A (permanent)</t>
        </is>
      </c>
      <c r="G8" t="inlineStr">
        <is>
          <t>unlisted_fund</t>
        </is>
      </c>
    </row>
    <row r="9">
      <c r="A9" t="inlineStr">
        <is>
          <t>ethereum</t>
        </is>
      </c>
      <c r="B9" t="n">
        <v>1619.61</v>
      </c>
      <c r="C9" t="inlineStr">
        <is>
          <t>EUR</t>
        </is>
      </c>
      <c r="D9" t="inlineStr">
        <is>
          <t>2026-08-02T18:13:39.316480+00:00</t>
        </is>
      </c>
      <c r="E9" t="n">
        <v>17885.6772</v>
      </c>
      <c r="F9" t="inlineStr">
        <is>
          <t>OK</t>
        </is>
      </c>
      <c r="G9" t="inlineStr">
        <is>
          <t>coingecko</t>
        </is>
      </c>
    </row>
    <row r="10">
      <c r="A10" t="inlineStr">
        <is>
          <t>SHB-A.ST</t>
        </is>
      </c>
      <c r="B10" t="n">
        <v>145.6499938964844</v>
      </c>
      <c r="C10" t="inlineStr">
        <is>
          <t>SEK</t>
        </is>
      </c>
      <c r="D10" t="inlineStr">
        <is>
          <t>2026-08-02T18:13:39.316480+00:00</t>
        </is>
      </c>
      <c r="E10" t="n">
        <v>145.65</v>
      </c>
      <c r="F10" t="inlineStr">
        <is>
          <t>OK</t>
        </is>
      </c>
    </row>
    <row r="11">
      <c r="A11" t="inlineStr">
        <is>
          <t>INVE-A.ST</t>
        </is>
      </c>
      <c r="B11" t="n">
        <v>404</v>
      </c>
      <c r="C11" t="inlineStr">
        <is>
          <t>SEK</t>
        </is>
      </c>
      <c r="D11" t="inlineStr">
        <is>
          <t>2026-08-02T18:13:39.316480+00:00</t>
        </is>
      </c>
      <c r="E11" t="n">
        <v>404</v>
      </c>
      <c r="F11" t="inlineStr">
        <is>
          <t>OK (price only)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4" customWidth="1" min="3" max="3"/>
  </cols>
  <sheetData>
    <row r="1">
      <c r="A1" s="7" t="inlineStr">
        <is>
          <t>date</t>
        </is>
      </c>
      <c r="B1" s="7" t="inlineStr">
        <is>
          <t>total_value_sek</t>
        </is>
      </c>
      <c r="C1" s="7" t="inlineStr">
        <is>
          <t>note</t>
        </is>
      </c>
    </row>
    <row r="2">
      <c r="A2" t="inlineStr">
        <is>
          <t>2026-07-13</t>
        </is>
      </c>
      <c r="B2" t="n">
        <v>192500</v>
      </c>
      <c r="C2" t="inlineStr">
        <is>
          <t>third automated sweep - holdings unchanged since 2026-07-06 second sweep</t>
        </is>
      </c>
    </row>
    <row r="3">
      <c r="A3" t="inlineStr">
        <is>
          <t>2026-07-13</t>
        </is>
      </c>
      <c r="B3" t="n">
        <v>226935</v>
      </c>
      <c r="C3" t="inlineStr">
        <is>
          <t>same-day reconciliation, NOT organic growth: PayPal balance counted for the first time (14321 SEK), SEB final settlement confirmed exact (17382 vs prior ~18k estimate), Avanza ISK itemized exactly (36120 vs 36000 approx), HB now confirmed-sold cash (136612 vs 134894 pre-sale estimate). Do not treat the ~34.4k jump from the prior row as investment gain - it is data completeness. See SESSION_LOG.md 2026-07-13 entries.</t>
        </is>
      </c>
    </row>
    <row r="4">
      <c r="A4" t="inlineStr">
        <is>
          <t>2026-07-20</t>
        </is>
      </c>
      <c r="B4" t="n">
        <v>226905</v>
      </c>
      <c r="C4" t="inlineStr">
        <is>
          <t>weekly automated sweep, holdings/accounts unchanged from 07-13 (HB/SEB cash still untransferred, no new contributions logged in portfolio.json). ~30 SEK variance vs the 226935 prior row is FX/price movement (fresh ETH price this sweep), not a data-completeness event. Equities (SHB-A.ST, INVE-A.ST, COIN-XBT.ST) priced at last-known 07-13 values - org egress policy blocked a fresh equities fetch this sweep, see SESSION_LOG.md 2026-07-20 entry.</t>
        </is>
      </c>
    </row>
    <row r="5">
      <c r="A5" t="inlineStr">
        <is>
          <t>2026-07-22</t>
        </is>
      </c>
      <c r="B5" t="n">
        <v>227703</v>
      </c>
      <c r="C5" t="inlineStr">
        <is>
          <t>user-triggered follow-up sweep, NOT organic growth: found money (+17 SEK at hb-main), new hb-checking account counted for the first time (611 SEK), Avanza ISK confirmed live by user (181254 vs computed 181114.26). No new contributions logged in portfolio.json. Equities still priced at stale 07-13 values - fetch blocked 3rd consecutive sweep. See SESSION_LOG.md 2026-07-22 entry.</t>
        </is>
      </c>
    </row>
    <row r="6">
      <c r="A6" t="inlineStr">
        <is>
          <t>2026-08-02</t>
        </is>
      </c>
      <c r="B6" t="n">
        <v>183361.44</v>
      </c>
      <c r="C6" t="inlineStr">
        <is>
          <t>auto-logged by run.py fetch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2026-08-02T09:06:54Z</dcterms:created>
  <dcterms:modified xsi:type="dcterms:W3CDTF">2026-08-02T18:14:15Z</dcterms:modified>
</cp:coreProperties>
</file>