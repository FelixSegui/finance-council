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Holdings" sheetId="2" state="visible" r:id="rId2"/>
    <sheet name="Value history" sheetId="3" state="visible" r:id="rId3"/>
    <sheet name="Manual Data" sheetId="4" state="visible" r:id="rId4"/>
    <sheet name="Fundamentals" sheetId="5" state="visible" r:id="rId5"/>
  </sheets>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0.0"/>
  </numFmts>
  <fonts count="8">
    <font>
      <name val="Calibri"/>
      <family val="2"/>
      <color theme="1"/>
      <sz val="11"/>
      <scheme val="minor"/>
    </font>
    <font>
      <b val="1"/>
      <color rgb="00FFFFFF"/>
    </font>
    <font>
      <b val="1"/>
      <sz val="14"/>
    </font>
    <font>
      <i val="1"/>
      <sz val="9"/>
    </font>
    <font>
      <i val="1"/>
    </font>
    <font>
      <b val="1"/>
    </font>
    <font>
      <b val="1"/>
      <sz val="12"/>
    </font>
    <font>
      <i val="1"/>
      <color rgb="005C6669"/>
      <sz val="9"/>
    </font>
  </fonts>
  <fills count="5">
    <fill>
      <patternFill/>
    </fill>
    <fill>
      <patternFill patternType="gray125"/>
    </fill>
    <fill>
      <patternFill patternType="solid">
        <fgColor rgb="001F3864"/>
      </patternFill>
    </fill>
    <fill>
      <patternFill patternType="solid">
        <fgColor rgb="00FFF2CC"/>
      </patternFill>
    </fill>
    <fill>
      <patternFill patternType="solid">
        <fgColor rgb="00FCE4EC"/>
      </patternFill>
    </fill>
  </fills>
  <borders count="1">
    <border>
      <left/>
      <right/>
      <top/>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xf>
    <xf numFmtId="4" fontId="0" fillId="0" borderId="0" pivotButton="0" quotePrefix="0" xfId="0"/>
    <xf numFmtId="165" fontId="0" fillId="0" borderId="0" pivotButton="0" quotePrefix="0" xfId="0"/>
    <xf numFmtId="166" fontId="0" fillId="0" borderId="0" pivotButton="0" quotePrefix="0" xfId="0"/>
    <xf numFmtId="4" fontId="5" fillId="0" borderId="0" pivotButton="0" quotePrefix="0" xfId="0"/>
    <xf numFmtId="0" fontId="6" fillId="0" borderId="0" pivotButton="0" quotePrefix="0" xfId="0"/>
    <xf numFmtId="0" fontId="7" fillId="0" borderId="0" pivotButton="0" quotePrefix="0" xfId="0"/>
    <xf numFmtId="0" fontId="1" fillId="2" borderId="0" pivotButton="0" quotePrefix="0" xfId="0"/>
    <xf numFmtId="0" fontId="0" fillId="3" borderId="0" pivotButton="0" quotePrefix="0" xfId="0"/>
    <xf numFmtId="164" fontId="0" fillId="0" borderId="0" pivotButton="0" quotePrefix="0" xfId="0"/>
    <xf numFmtId="0" fontId="0" fillId="4" borderId="0" pivotButton="0" quotePrefix="0" xfId="0"/>
  </cellXfs>
  <cellStyles count="1">
    <cellStyle name="Normal" xfId="0" builtinId="0" hidden="0"/>
  </cellStyles>
  <dxfs count="3">
    <dxf>
      <fill>
        <patternFill patternType="solid">
          <fgColor rgb="00FCE4EC"/>
        </patternFill>
      </fill>
    </dxf>
    <dxf>
      <fill>
        <patternFill patternType="solid">
          <fgColor rgb="00FFF2CC"/>
        </patternFill>
      </fill>
    </dxf>
    <dxf>
      <fill>
        <patternFill patternType="solid">
          <f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32" customWidth="1" min="1" max="1"/>
    <col width="18" customWidth="1" min="2" max="2"/>
    <col width="40" customWidth="1" min="3" max="3"/>
  </cols>
  <sheetData>
    <row r="1">
      <c r="A1" s="1" t="inlineStr">
        <is>
          <t>Portfolio overview</t>
        </is>
      </c>
    </row>
    <row r="2">
      <c r="A2" t="inlineStr">
        <is>
          <t>Generated 2026-08-04 17:02 UTC from portfolio.json</t>
        </is>
      </c>
    </row>
    <row r="3">
      <c r="A3" s="2" t="inlineStr">
        <is>
          <t>Every number below is a live formula over the Holdings sheet - edit portfolio.json to change a fact, not this file.</t>
        </is>
      </c>
    </row>
    <row r="4">
      <c r="A4" s="3" t="inlineStr">
        <is>
          <t>READ-ONLY VIEW — edit portfolio.json, not this file. Rebuild: python scripts/build_workbook.py</t>
        </is>
      </c>
    </row>
    <row r="6">
      <c r="A6" s="4" t="inlineStr">
        <is>
          <t>Allocation vs target</t>
        </is>
      </c>
    </row>
    <row r="7">
      <c r="A7" s="5" t="inlineStr">
        <is>
          <t>Exposure class</t>
        </is>
      </c>
      <c r="B7" s="5" t="inlineStr">
        <is>
          <t>Value (SEK)</t>
        </is>
      </c>
      <c r="C7" s="5" t="inlineStr">
        <is>
          <t>% of total</t>
        </is>
      </c>
      <c r="D7" s="5" t="inlineStr">
        <is>
          <t>Target %</t>
        </is>
      </c>
      <c r="E7" s="5" t="inlineStr">
        <is>
          <t>Drift (pp)</t>
        </is>
      </c>
    </row>
    <row r="8">
      <c r="A8" t="inlineStr">
        <is>
          <t>cash</t>
        </is>
      </c>
      <c r="B8" s="6">
        <f>SUMIF(Holdings!$D$2:$D$19,"cash",Holdings!$G$2:$G$19)</f>
        <v/>
      </c>
      <c r="C8" s="7">
        <f>IFERROR(B8/$B$12*100,"n/a")</f>
        <v/>
      </c>
      <c r="D8" t="n">
        <v>5</v>
      </c>
      <c r="E8" s="8">
        <f>IFERROR(C8-D8,"n/a")</f>
        <v/>
      </c>
    </row>
    <row r="9">
      <c r="A9" t="inlineStr">
        <is>
          <t>crypto</t>
        </is>
      </c>
      <c r="B9" s="6">
        <f>SUMIF(Holdings!$D$2:$D$19,"crypto",Holdings!$G$2:$G$19)</f>
        <v/>
      </c>
      <c r="C9" s="7">
        <f>IFERROR(B9/$B$12*100,"n/a")</f>
        <v/>
      </c>
      <c r="D9" t="n">
        <v>10</v>
      </c>
      <c r="E9" s="8">
        <f>IFERROR(C9-D9,"n/a")</f>
        <v/>
      </c>
    </row>
    <row r="10">
      <c r="A10" t="inlineStr">
        <is>
          <t>equity</t>
        </is>
      </c>
      <c r="B10" s="6">
        <f>SUMIF(Holdings!$D$2:$D$19,"equity",Holdings!$G$2:$G$19)</f>
        <v/>
      </c>
      <c r="C10" s="7">
        <f>IFERROR(B10/$B$12*100,"n/a")</f>
        <v/>
      </c>
      <c r="D10" t="n">
        <v>85</v>
      </c>
      <c r="E10" s="8">
        <f>IFERROR(C10-D10,"n/a")</f>
        <v/>
      </c>
    </row>
    <row r="11">
      <c r="A11" t="inlineStr">
        <is>
          <t>mixed</t>
        </is>
      </c>
      <c r="B11" s="6">
        <f>SUMIF(Holdings!$D$2:$D$19,"mixed",Holdings!$G$2:$G$19)</f>
        <v/>
      </c>
      <c r="C11" s="7">
        <f>IFERROR(B11/$B$12*100,"n/a")</f>
        <v/>
      </c>
      <c r="D11" t="inlineStr">
        <is>
          <t>n/a</t>
        </is>
      </c>
      <c r="E11" t="inlineStr">
        <is>
          <t>n/a</t>
        </is>
      </c>
    </row>
    <row r="12">
      <c r="A12" s="4" t="inlineStr">
        <is>
          <t>TOTAL</t>
        </is>
      </c>
      <c r="B12" s="9">
        <f>SUMIF(Holdings!$D$2:$D$19,"&lt;&gt;excluded_operating_cash",Holdings!$G$2:$G$19)</f>
        <v/>
      </c>
    </row>
    <row r="14">
      <c r="A14" s="4" t="inlineStr">
        <is>
          <t>BY TYPE</t>
        </is>
      </c>
    </row>
    <row r="15">
      <c r="A15" s="5" t="inlineStr">
        <is>
          <t>Instrument type</t>
        </is>
      </c>
      <c r="B15" s="5" t="inlineStr">
        <is>
          <t>Value (SEK)</t>
        </is>
      </c>
      <c r="C15" s="5" t="inlineStr">
        <is>
          <t>Count</t>
        </is>
      </c>
    </row>
    <row r="16">
      <c r="A16" t="inlineStr">
        <is>
          <t>cash</t>
        </is>
      </c>
      <c r="B16" s="6">
        <f>SUMIF(Holdings!$E$2:$E$19,"cash",Holdings!$G$2:$G$19)</f>
        <v/>
      </c>
      <c r="C16">
        <f>COUNTIF(Holdings!$E$2:$E$19,"cash")</f>
        <v/>
      </c>
    </row>
    <row r="17">
      <c r="A17" t="inlineStr">
        <is>
          <t>certificate</t>
        </is>
      </c>
      <c r="B17" s="6">
        <f>SUMIF(Holdings!$E$2:$E$19,"certificate",Holdings!$G$2:$G$19)</f>
        <v/>
      </c>
      <c r="C17">
        <f>COUNTIF(Holdings!$E$2:$E$19,"certificate")</f>
        <v/>
      </c>
    </row>
    <row r="18">
      <c r="A18" t="inlineStr">
        <is>
          <t>fund</t>
        </is>
      </c>
      <c r="B18" s="6">
        <f>SUMIF(Holdings!$E$2:$E$19,"fund",Holdings!$G$2:$G$19)</f>
        <v/>
      </c>
      <c r="C18">
        <f>COUNTIF(Holdings!$E$2:$E$19,"fund")</f>
        <v/>
      </c>
    </row>
    <row r="19">
      <c r="A19" t="inlineStr">
        <is>
          <t>spot_crypto</t>
        </is>
      </c>
      <c r="B19" s="6">
        <f>SUMIF(Holdings!$E$2:$E$19,"spot_crypto",Holdings!$G$2:$G$19)</f>
        <v/>
      </c>
      <c r="C19">
        <f>COUNTIF(Holdings!$E$2:$E$19,"spot_crypto")</f>
        <v/>
      </c>
    </row>
    <row r="20">
      <c r="A20" t="inlineStr">
        <is>
          <t>stock</t>
        </is>
      </c>
      <c r="B20" s="6">
        <f>SUMIF(Holdings!$E$2:$E$19,"stock",Holdings!$G$2:$G$19)</f>
        <v/>
      </c>
      <c r="C20">
        <f>COUNTIF(Holdings!$E$2:$E$19,"stock")</f>
        <v/>
      </c>
    </row>
    <row r="22">
      <c r="A22" s="4" t="inlineStr">
        <is>
          <t>FEE DRAG</t>
        </is>
      </c>
    </row>
    <row r="23">
      <c r="A23" s="10" t="inlineStr">
        <is>
          <t>Total annual fees (SEK/yr)</t>
        </is>
      </c>
      <c r="B23" s="6">
        <f>SUMPRODUCT((Holdings!$I$2:$I$19&lt;&gt;"")*IFERROR(Holdings!$I$2:$I$19/100,0)*IFERROR(Holdings!$G$2:$G$19,0))</f>
        <v/>
      </c>
      <c r="C23" s="11" t="inlineStr">
        <is>
          <t>Sum of fee%/yr x value per holding, over Holdings</t>
        </is>
      </c>
    </row>
    <row r="25">
      <c r="A25" s="4" t="inlineStr">
        <is>
          <t>CROSS-CHECK</t>
        </is>
      </c>
    </row>
    <row r="26">
      <c r="A26" t="inlineStr">
        <is>
          <t>If TOTAL above does not match your broker, the system's model is wrong — that mismatch is the point of this sheet.</t>
        </is>
      </c>
    </row>
    <row r="27">
      <c r="A27" t="inlineStr">
        <is>
          <t>Deliberately excluded (operating cash, not capital): Revolut everyday account (salary in, rent/food out)</t>
        </is>
      </c>
    </row>
  </sheetData>
  <conditionalFormatting sqref="E8:E11">
    <cfRule type="cellIs" priority="1" operator="greaterThanOrEqual" dxfId="0">
      <formula>10</formula>
    </cfRule>
    <cfRule type="cellIs" priority="2" operator="lessThanOrEqual" dxfId="0">
      <formula>-10</formula>
    </cfRule>
    <cfRule type="cellIs" priority="3" operator="between" dxfId="1">
      <formula>3</formula>
      <formula>9.99</formula>
    </cfRule>
    <cfRule type="cellIs" priority="4" operator="between" dxfId="1">
      <formula>-9.99</formula>
      <formula>-3</formula>
    </cfRule>
    <cfRule type="cellIs" priority="5" operator="between" dxfId="2">
      <formula>-2.99</formula>
      <formula>2.99</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
  <sheetViews>
    <sheetView workbookViewId="0">
      <selection activeCell="A1" sqref="A1"/>
    </sheetView>
  </sheetViews>
  <sheetFormatPr baseColWidth="8" defaultRowHeight="15"/>
  <cols>
    <col width="13" customWidth="1" min="1" max="1"/>
    <col width="52" customWidth="1" min="2" max="2"/>
    <col width="13" customWidth="1" min="3" max="3"/>
    <col width="25" customWidth="1" min="4" max="4"/>
    <col width="17" customWidth="1" min="5" max="5"/>
    <col width="10" customWidth="1" min="6" max="6"/>
    <col width="20" customWidth="1" min="7" max="7"/>
    <col width="20" customWidth="1" min="8" max="8"/>
    <col width="10" customWidth="1" min="9" max="9"/>
    <col width="14" customWidth="1" min="10" max="10"/>
    <col width="35" customWidth="1" min="11" max="11"/>
  </cols>
  <sheetData>
    <row r="1">
      <c r="A1" s="5" t="inlineStr">
        <is>
          <t>Ticker</t>
        </is>
      </c>
      <c r="B1" s="5" t="inlineStr">
        <is>
          <t>Name</t>
        </is>
      </c>
      <c r="C1" s="5" t="inlineStr">
        <is>
          <t>Account</t>
        </is>
      </c>
      <c r="D1" s="5" t="inlineStr">
        <is>
          <t>Exposure class</t>
        </is>
      </c>
      <c r="E1" s="5" t="inlineStr">
        <is>
          <t>Instrument type</t>
        </is>
      </c>
      <c r="F1" s="5" t="inlineStr">
        <is>
          <t>Qty</t>
        </is>
      </c>
      <c r="G1" s="5" t="inlineStr">
        <is>
          <t>Value (SEK)</t>
        </is>
      </c>
      <c r="H1" s="5" t="inlineStr">
        <is>
          <t>Cost basis (SEK)</t>
        </is>
      </c>
      <c r="I1" s="5" t="inlineStr">
        <is>
          <t>Fee %/yr</t>
        </is>
      </c>
      <c r="J1" s="5" t="inlineStr">
        <is>
          <t>Price source</t>
        </is>
      </c>
      <c r="K1" s="12" t="inlineStr">
        <is>
          <t>Δ vs cost</t>
        </is>
      </c>
    </row>
    <row r="2">
      <c r="A2" t="inlineStr">
        <is>
          <t>CASH_SEK</t>
        </is>
      </c>
      <c r="B2" t="inlineStr">
        <is>
          <t>Tax-reserve sparkonto (2027 deklaration - confirmed HB + SEB capital-gains tax)</t>
        </is>
      </c>
      <c r="C2" t="inlineStr">
        <is>
          <t>hb-main</t>
        </is>
      </c>
      <c r="D2" t="inlineStr">
        <is>
          <t>cash</t>
        </is>
      </c>
      <c r="E2" t="inlineStr">
        <is>
          <t>cash</t>
        </is>
      </c>
      <c r="F2" t="n">
        <v>10752.76</v>
      </c>
      <c r="G2" s="6" t="n">
        <v>10752.76</v>
      </c>
      <c r="H2" t="inlineStr">
        <is>
          <t>no data</t>
        </is>
      </c>
      <c r="I2" t="inlineStr">
        <is>
          <t>n/a</t>
        </is>
      </c>
      <c r="J2" s="13" t="inlineStr">
        <is>
          <t>book</t>
        </is>
      </c>
      <c r="K2" s="14">
        <f>IFERROR((G2-H2)/H2,"no data")</f>
        <v/>
      </c>
    </row>
    <row r="3">
      <c r="A3" t="inlineStr">
        <is>
          <t>CASH_SEK</t>
        </is>
      </c>
      <c r="B3" t="inlineStr">
        <is>
          <t>Handelsbanken normal/checking account</t>
        </is>
      </c>
      <c r="C3" t="inlineStr">
        <is>
          <t>hb-checking</t>
        </is>
      </c>
      <c r="D3" t="inlineStr">
        <is>
          <t>cash</t>
        </is>
      </c>
      <c r="E3" t="inlineStr">
        <is>
          <t>cash</t>
        </is>
      </c>
      <c r="F3" t="n">
        <v>611</v>
      </c>
      <c r="G3" s="6" t="n">
        <v>611</v>
      </c>
      <c r="H3" t="inlineStr">
        <is>
          <t>no data</t>
        </is>
      </c>
      <c r="I3" t="inlineStr">
        <is>
          <t>n/a</t>
        </is>
      </c>
      <c r="J3" s="13" t="inlineStr">
        <is>
          <t>book</t>
        </is>
      </c>
      <c r="K3" s="14">
        <f>IFERROR((G3-H3)/H3,"no data")</f>
        <v/>
      </c>
    </row>
    <row r="4">
      <c r="A4" t="inlineStr">
        <is>
          <t>SHB-A.ST</t>
        </is>
      </c>
      <c r="B4" t="inlineStr">
        <is>
          <t>Handelsbanken A (stock)</t>
        </is>
      </c>
      <c r="C4" t="inlineStr">
        <is>
          <t>avanza-isk</t>
        </is>
      </c>
      <c r="D4" t="inlineStr">
        <is>
          <t>equity</t>
        </is>
      </c>
      <c r="E4" t="inlineStr">
        <is>
          <t>stock</t>
        </is>
      </c>
      <c r="F4" t="n">
        <v>1</v>
      </c>
      <c r="G4" s="6" t="n">
        <v>146.8</v>
      </c>
      <c r="H4" s="6" t="n">
        <v>129.25</v>
      </c>
      <c r="I4" t="inlineStr">
        <is>
          <t>n/a</t>
        </is>
      </c>
      <c r="J4" t="inlineStr">
        <is>
          <t>live</t>
        </is>
      </c>
      <c r="K4" s="14">
        <f>IFERROR((G4-H4)/H4,"no data")</f>
        <v/>
      </c>
    </row>
    <row r="5">
      <c r="A5" t="inlineStr">
        <is>
          <t>INVE-A.ST</t>
        </is>
      </c>
      <c r="B5" t="inlineStr">
        <is>
          <t>Investor A (stock)</t>
        </is>
      </c>
      <c r="C5" t="inlineStr">
        <is>
          <t>avanza-isk</t>
        </is>
      </c>
      <c r="D5" t="inlineStr">
        <is>
          <t>equity</t>
        </is>
      </c>
      <c r="E5" t="inlineStr">
        <is>
          <t>stock</t>
        </is>
      </c>
      <c r="F5" t="n">
        <v>5</v>
      </c>
      <c r="G5" s="6" t="n">
        <v>2047</v>
      </c>
      <c r="H5" s="6" t="n">
        <v>1451.1</v>
      </c>
      <c r="I5" t="inlineStr">
        <is>
          <t>n/a</t>
        </is>
      </c>
      <c r="J5" t="inlineStr">
        <is>
          <t>live</t>
        </is>
      </c>
      <c r="K5" s="14">
        <f>IFERROR((G5-H5)/H5,"no data")</f>
        <v/>
      </c>
    </row>
    <row r="6">
      <c r="A6" t="inlineStr">
        <is>
          <t>VOLV-B.ST</t>
        </is>
      </c>
      <c r="B6" t="inlineStr">
        <is>
          <t>Volvo B</t>
        </is>
      </c>
      <c r="C6" t="inlineStr">
        <is>
          <t>avanza-isk</t>
        </is>
      </c>
      <c r="D6" t="inlineStr">
        <is>
          <t>equity</t>
        </is>
      </c>
      <c r="E6" t="inlineStr">
        <is>
          <t>stock</t>
        </is>
      </c>
      <c r="F6" t="n">
        <v>13</v>
      </c>
      <c r="G6" s="6" t="n">
        <v>4802.2</v>
      </c>
      <c r="H6" s="6" t="n">
        <v>4777.5</v>
      </c>
      <c r="I6" t="inlineStr">
        <is>
          <t>n/a</t>
        </is>
      </c>
      <c r="J6" t="inlineStr">
        <is>
          <t>live</t>
        </is>
      </c>
      <c r="K6" s="14">
        <f>IFERROR((G6-H6)/H6,"no data")</f>
        <v/>
      </c>
    </row>
    <row r="7">
      <c r="A7" t="inlineStr">
        <is>
          <t>ATCO-B.ST</t>
        </is>
      </c>
      <c r="B7" t="inlineStr">
        <is>
          <t>Atlas Copco B</t>
        </is>
      </c>
      <c r="C7" t="inlineStr">
        <is>
          <t>avanza-isk</t>
        </is>
      </c>
      <c r="D7" t="inlineStr">
        <is>
          <t>equity</t>
        </is>
      </c>
      <c r="E7" t="inlineStr">
        <is>
          <t>stock</t>
        </is>
      </c>
      <c r="F7" t="n">
        <v>27</v>
      </c>
      <c r="G7" s="6" t="n">
        <v>4781.7</v>
      </c>
      <c r="H7" s="6" t="n">
        <v>4893.75</v>
      </c>
      <c r="I7" t="inlineStr">
        <is>
          <t>n/a</t>
        </is>
      </c>
      <c r="J7" t="inlineStr">
        <is>
          <t>live</t>
        </is>
      </c>
      <c r="K7" s="14">
        <f>IFERROR((G7-H7)/H7,"no data")</f>
        <v/>
      </c>
    </row>
    <row r="8">
      <c r="A8" t="inlineStr">
        <is>
          <t>AZN.ST</t>
        </is>
      </c>
      <c r="B8" t="inlineStr">
        <is>
          <t>AstraZeneca</t>
        </is>
      </c>
      <c r="C8" t="inlineStr">
        <is>
          <t>avanza-isk</t>
        </is>
      </c>
      <c r="D8" t="inlineStr">
        <is>
          <t>equity</t>
        </is>
      </c>
      <c r="E8" t="inlineStr">
        <is>
          <t>stock</t>
        </is>
      </c>
      <c r="F8" t="n">
        <v>4</v>
      </c>
      <c r="G8" s="6" t="n">
        <v>5896</v>
      </c>
      <c r="H8" s="6" t="n">
        <v>6028</v>
      </c>
      <c r="I8" t="inlineStr">
        <is>
          <t>n/a</t>
        </is>
      </c>
      <c r="J8" t="inlineStr">
        <is>
          <t>live</t>
        </is>
      </c>
      <c r="K8" s="14">
        <f>IFERROR((G8-H8)/H8,"no data")</f>
        <v/>
      </c>
    </row>
    <row r="9">
      <c r="A9" t="inlineStr">
        <is>
          <t>ALFA.ST</t>
        </is>
      </c>
      <c r="B9" t="inlineStr">
        <is>
          <t>Alfa Laval</t>
        </is>
      </c>
      <c r="C9" t="inlineStr">
        <is>
          <t>avanza-isk</t>
        </is>
      </c>
      <c r="D9" t="inlineStr">
        <is>
          <t>equity</t>
        </is>
      </c>
      <c r="E9" t="inlineStr">
        <is>
          <t>stock</t>
        </is>
      </c>
      <c r="F9" t="n">
        <v>9</v>
      </c>
      <c r="G9" s="6" t="n">
        <v>5101.2</v>
      </c>
      <c r="H9" s="6" t="n">
        <v>5169.599999999999</v>
      </c>
      <c r="I9" t="inlineStr">
        <is>
          <t>n/a</t>
        </is>
      </c>
      <c r="J9" t="inlineStr">
        <is>
          <t>live</t>
        </is>
      </c>
      <c r="K9" s="14">
        <f>IFERROR((G9-H9)/H9,"no data")</f>
        <v/>
      </c>
    </row>
    <row r="10">
      <c r="A10" t="inlineStr">
        <is>
          <t>ABB.ST</t>
        </is>
      </c>
      <c r="B10" t="inlineStr">
        <is>
          <t>ABB</t>
        </is>
      </c>
      <c r="C10" t="inlineStr">
        <is>
          <t>avanza-isk</t>
        </is>
      </c>
      <c r="D10" t="inlineStr">
        <is>
          <t>equity</t>
        </is>
      </c>
      <c r="E10" t="inlineStr">
        <is>
          <t>stock</t>
        </is>
      </c>
      <c r="F10" t="n">
        <v>4</v>
      </c>
      <c r="G10" s="6" t="n">
        <v>3765.6</v>
      </c>
      <c r="H10" s="6" t="n">
        <v>3787.84</v>
      </c>
      <c r="I10" t="inlineStr">
        <is>
          <t>n/a</t>
        </is>
      </c>
      <c r="J10" t="inlineStr">
        <is>
          <t>live</t>
        </is>
      </c>
      <c r="K10" s="14">
        <f>IFERROR((G10-H10)/H10,"no data")</f>
        <v/>
      </c>
    </row>
    <row r="11">
      <c r="A11" t="inlineStr">
        <is>
          <t>TBD</t>
        </is>
      </c>
      <c r="B11" t="inlineStr">
        <is>
          <t>Avanza Auto 3 (fund)</t>
        </is>
      </c>
      <c r="C11" t="inlineStr">
        <is>
          <t>avanza-isk</t>
        </is>
      </c>
      <c r="D11" t="inlineStr">
        <is>
          <t>mixed</t>
        </is>
      </c>
      <c r="E11" t="inlineStr">
        <is>
          <t>fund</t>
        </is>
      </c>
      <c r="F11" t="inlineStr">
        <is>
          <t>n/a</t>
        </is>
      </c>
      <c r="G11" s="6" t="n">
        <v>16191</v>
      </c>
      <c r="H11" s="6" t="n">
        <v>9800.299999999999</v>
      </c>
      <c r="I11" t="n">
        <v>0.39</v>
      </c>
      <c r="J11" s="13" t="inlineStr">
        <is>
          <t>book</t>
        </is>
      </c>
      <c r="K11" s="14">
        <f>IFERROR((G11-H11)/H11,"no data")</f>
        <v/>
      </c>
    </row>
    <row r="12">
      <c r="A12" t="inlineStr">
        <is>
          <t>COIN-XBT.ST</t>
        </is>
      </c>
      <c r="B12" t="inlineStr">
        <is>
          <t>CoinShares XBT Provider Bitcoin Tracker One (certificate)</t>
        </is>
      </c>
      <c r="C12" t="inlineStr">
        <is>
          <t>avanza-isk</t>
        </is>
      </c>
      <c r="D12" t="inlineStr">
        <is>
          <t>crypto</t>
        </is>
      </c>
      <c r="E12" t="inlineStr">
        <is>
          <t>certificate</t>
        </is>
      </c>
      <c r="F12" t="n">
        <v>6</v>
      </c>
      <c r="G12" s="6" t="n">
        <v>15240</v>
      </c>
      <c r="H12" s="6" t="n">
        <v>12100.02</v>
      </c>
      <c r="I12" t="n">
        <v>2.5</v>
      </c>
      <c r="J12" s="13" t="inlineStr">
        <is>
          <t>user-relayed</t>
        </is>
      </c>
      <c r="K12" s="14">
        <f>IFERROR((G12-H12)/H12,"no data")</f>
        <v/>
      </c>
    </row>
    <row r="13">
      <c r="A13" t="inlineStr">
        <is>
          <t>TBD</t>
        </is>
      </c>
      <c r="B13" t="inlineStr">
        <is>
          <t>Avanza Global (fund)</t>
        </is>
      </c>
      <c r="C13" t="inlineStr">
        <is>
          <t>avanza-isk</t>
        </is>
      </c>
      <c r="D13" t="inlineStr">
        <is>
          <t>equity</t>
        </is>
      </c>
      <c r="E13" t="inlineStr">
        <is>
          <t>fund</t>
        </is>
      </c>
      <c r="F13" t="inlineStr">
        <is>
          <t>n/a</t>
        </is>
      </c>
      <c r="G13" s="6" t="n">
        <v>119999</v>
      </c>
      <c r="H13" s="6" t="n">
        <v>119999</v>
      </c>
      <c r="I13" t="n">
        <v>0.1</v>
      </c>
      <c r="J13" s="13" t="inlineStr">
        <is>
          <t>book</t>
        </is>
      </c>
      <c r="K13" s="14">
        <f>IFERROR((G13-H13)/H13,"no data")</f>
        <v/>
      </c>
    </row>
    <row r="14">
      <c r="A14" t="inlineStr">
        <is>
          <t>CASH_SEK</t>
        </is>
      </c>
      <c r="B14" t="inlineStr">
        <is>
          <t>Avanza ISK available cash</t>
        </is>
      </c>
      <c r="C14" t="inlineStr">
        <is>
          <t>avanza-isk</t>
        </is>
      </c>
      <c r="D14" t="inlineStr">
        <is>
          <t>cash</t>
        </is>
      </c>
      <c r="E14" t="inlineStr">
        <is>
          <t>cash</t>
        </is>
      </c>
      <c r="F14" t="n">
        <v>1743.61</v>
      </c>
      <c r="G14" s="6" t="n">
        <v>1743.61</v>
      </c>
      <c r="H14" t="inlineStr">
        <is>
          <t>no data</t>
        </is>
      </c>
      <c r="I14" t="inlineStr">
        <is>
          <t>n/a</t>
        </is>
      </c>
      <c r="J14" s="13" t="inlineStr">
        <is>
          <t>book</t>
        </is>
      </c>
      <c r="K14" s="14">
        <f>IFERROR((G14-H14)/H14,"no data")</f>
        <v/>
      </c>
    </row>
    <row r="15">
      <c r="A15" t="inlineStr">
        <is>
          <t>TBD</t>
        </is>
      </c>
      <c r="B15" t="inlineStr">
        <is>
          <t>SEB Osteuropafond (FROZEN - unsellable)</t>
        </is>
      </c>
      <c r="C15" t="inlineStr">
        <is>
          <t>seb-fund</t>
        </is>
      </c>
      <c r="D15" t="inlineStr">
        <is>
          <t>equity</t>
        </is>
      </c>
      <c r="E15" t="inlineStr">
        <is>
          <t>fund</t>
        </is>
      </c>
      <c r="F15" t="inlineStr">
        <is>
          <t>n/a</t>
        </is>
      </c>
      <c r="G15" s="6" t="inlineStr">
        <is>
          <t>no data</t>
        </is>
      </c>
      <c r="H15" s="6" t="n">
        <v>0.25</v>
      </c>
      <c r="I15" t="inlineStr">
        <is>
          <t>n/a</t>
        </is>
      </c>
      <c r="J15" s="15" t="inlineStr">
        <is>
          <t>no data</t>
        </is>
      </c>
      <c r="K15" s="14">
        <f>IFERROR((G15-H15)/H15,"no data")</f>
        <v/>
      </c>
    </row>
    <row r="16">
      <c r="A16" t="inlineStr">
        <is>
          <t>CASH_EUR</t>
        </is>
      </c>
      <c r="B16" t="inlineStr">
        <is>
          <t>Revolut everyday account (salary in, rent/food out)</t>
        </is>
      </c>
      <c r="C16" t="inlineStr">
        <is>
          <t>revolut</t>
        </is>
      </c>
      <c r="D16" t="inlineStr">
        <is>
          <t>excluded_operating_cash</t>
        </is>
      </c>
      <c r="E16" t="inlineStr">
        <is>
          <t>cash</t>
        </is>
      </c>
      <c r="F16" t="n">
        <v>1500</v>
      </c>
      <c r="G16" s="6" t="n">
        <v>16460.85</v>
      </c>
      <c r="H16" t="inlineStr">
        <is>
          <t>no data</t>
        </is>
      </c>
      <c r="I16" t="inlineStr">
        <is>
          <t>n/a</t>
        </is>
      </c>
      <c r="J16" s="13" t="inlineStr">
        <is>
          <t>live FX</t>
        </is>
      </c>
      <c r="K16" s="14">
        <f>IFERROR((G16-H16)/H16,"no data")</f>
        <v/>
      </c>
    </row>
    <row r="17">
      <c r="A17" t="inlineStr">
        <is>
          <t>ethereum</t>
        </is>
      </c>
      <c r="B17" t="inlineStr">
        <is>
          <t>ETH (self-custody wallet)</t>
        </is>
      </c>
      <c r="C17" t="inlineStr">
        <is>
          <t>eth-wallet</t>
        </is>
      </c>
      <c r="D17" t="inlineStr">
        <is>
          <t>crypto</t>
        </is>
      </c>
      <c r="E17" t="inlineStr">
        <is>
          <t>spot_crypto</t>
        </is>
      </c>
      <c r="F17" t="n">
        <v>0.50185</v>
      </c>
      <c r="G17" s="6" t="n">
        <v>8911</v>
      </c>
      <c r="H17" t="inlineStr">
        <is>
          <t>no data</t>
        </is>
      </c>
      <c r="I17" t="n">
        <v>0</v>
      </c>
      <c r="J17" s="13" t="inlineStr">
        <is>
          <t>user-relayed</t>
        </is>
      </c>
      <c r="K17" s="14">
        <f>IFERROR((G17-H17)/H17,"no data")</f>
        <v/>
      </c>
    </row>
    <row r="18">
      <c r="A18" t="inlineStr">
        <is>
          <t>CASH_USD</t>
        </is>
      </c>
      <c r="B18" t="inlineStr">
        <is>
          <t>PayPal USD balance</t>
        </is>
      </c>
      <c r="C18" t="inlineStr">
        <is>
          <t>paypal</t>
        </is>
      </c>
      <c r="D18" t="inlineStr">
        <is>
          <t>cash</t>
        </is>
      </c>
      <c r="E18" t="inlineStr">
        <is>
          <t>cash</t>
        </is>
      </c>
      <c r="F18" t="n">
        <v>1177.49</v>
      </c>
      <c r="G18" s="6" t="n">
        <v>11217.711732</v>
      </c>
      <c r="H18" t="inlineStr">
        <is>
          <t>no data</t>
        </is>
      </c>
      <c r="I18" t="inlineStr">
        <is>
          <t>n/a</t>
        </is>
      </c>
      <c r="J18" s="13" t="inlineStr">
        <is>
          <t>live FX</t>
        </is>
      </c>
      <c r="K18" s="14">
        <f>IFERROR((G18-H18)/H18,"no data")</f>
        <v/>
      </c>
    </row>
    <row r="19">
      <c r="A19" t="inlineStr">
        <is>
          <t>CASH_EUR</t>
        </is>
      </c>
      <c r="B19" t="inlineStr">
        <is>
          <t>PayPal EUR balance</t>
        </is>
      </c>
      <c r="C19" t="inlineStr">
        <is>
          <t>paypal</t>
        </is>
      </c>
      <c r="D19" t="inlineStr">
        <is>
          <t>cash</t>
        </is>
      </c>
      <c r="E19" t="inlineStr">
        <is>
          <t>cash</t>
        </is>
      </c>
      <c r="F19" t="n">
        <v>266.88</v>
      </c>
      <c r="G19" s="6" t="n">
        <v>2928.714432</v>
      </c>
      <c r="H19" t="inlineStr">
        <is>
          <t>no data</t>
        </is>
      </c>
      <c r="I19" t="inlineStr">
        <is>
          <t>n/a</t>
        </is>
      </c>
      <c r="J19" s="13" t="inlineStr">
        <is>
          <t>live FX</t>
        </is>
      </c>
      <c r="K19" s="14">
        <f>IFERROR((G19-H19)/H19,"no data")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2" customWidth="1" min="1" max="1"/>
    <col width="17" customWidth="1" min="2" max="2"/>
    <col width="33" customWidth="1" min="3" max="3"/>
    <col width="60" customWidth="1" min="4" max="4"/>
    <col width="48" customWidth="1" min="5" max="5"/>
  </cols>
  <sheetData>
    <row r="1">
      <c r="A1" s="12" t="inlineStr">
        <is>
          <t>date</t>
        </is>
      </c>
      <c r="B1" s="12" t="inlineStr">
        <is>
          <t>total_value_sek</t>
        </is>
      </c>
      <c r="C1" s="12" t="inlineStr">
        <is>
          <t>net_contribution_since_last_sek</t>
        </is>
      </c>
      <c r="D1" s="12" t="inlineStr">
        <is>
          <t>note</t>
        </is>
      </c>
    </row>
    <row r="2">
      <c r="A2" t="inlineStr">
        <is>
          <t>2026-07-13</t>
        </is>
      </c>
      <c r="B2" t="inlineStr">
        <is>
          <t>192500</t>
        </is>
      </c>
      <c r="C2" t="inlineStr">
        <is>
          <t>0</t>
        </is>
      </c>
      <c r="D2" t="inlineStr">
        <is>
          <t>third automated sweep - holdings unchanged since 2026-07-06 second sweep</t>
        </is>
      </c>
      <c r="E2" t="inlineStr">
        <is>
          <t xml:space="preserve"> no new contributions logged in portfolio.json</t>
        </is>
      </c>
    </row>
    <row r="3">
      <c r="A3" t="inlineStr">
        <is>
          <t>2026-07-13</t>
        </is>
      </c>
      <c r="B3" t="inlineStr">
        <is>
          <t>226935</t>
        </is>
      </c>
      <c r="C3" t="inlineStr">
        <is>
          <t>0</t>
        </is>
      </c>
      <c r="D3" t="inlineStr">
        <is>
          <t>same-day reconciliation, NOT organic growth: PayPal balance counted for the first time (14321 SEK), SEB final settlement confirmed exact (17382 vs prior ~18k estimate), Avanza ISK itemized exactly (36120 vs 36000 approx), HB now confirmed-sold cash (136612 vs 134894 pre-sale estimate). Do not treat the ~34.4k jump from the prior row as investment gain - it is data completeness. See SESSION_LOG.md 2026-07-13 entries.</t>
        </is>
      </c>
    </row>
    <row r="4">
      <c r="A4" t="inlineStr">
        <is>
          <t>2026-07-20</t>
        </is>
      </c>
      <c r="B4" t="inlineStr">
        <is>
          <t>226905</t>
        </is>
      </c>
      <c r="C4" t="inlineStr">
        <is>
          <t>0</t>
        </is>
      </c>
      <c r="D4" t="inlineStr">
        <is>
          <t>weekly automated sweep, holdings/accounts unchanged from 07-13 (HB/SEB cash still untransferred, no new contributions logged in portfolio.json). ~30 SEK variance vs the 226935 prior row is FX/price movement (fresh ETH price this sweep), not a data-completeness event. Equities (SHB-A.ST, INVE-A.ST, COIN-XBT.ST) priced at last-known 07-13 values - org egress policy blocked a fresh equities fetch this sweep, see SESSION_LOG.md 2026-07-20 entry.</t>
        </is>
      </c>
    </row>
    <row r="5">
      <c r="A5" t="inlineStr">
        <is>
          <t>2026-07-22</t>
        </is>
      </c>
      <c r="B5" t="inlineStr">
        <is>
          <t>227703</t>
        </is>
      </c>
      <c r="C5" t="inlineStr">
        <is>
          <t>0</t>
        </is>
      </c>
      <c r="D5" t="inlineStr">
        <is>
          <t>user-triggered follow-up sweep, NOT organic growth: found money (+17 SEK at hb-main), new hb-checking account counted for the first time (611 SEK), Avanza ISK confirmed live by user (181254 vs computed 181114.26). No new contributions logged in portfolio.json. Equities still priced at stale 07-13 values - fetch blocked 3rd consecutive sweep. See SESSION_LOG.md 2026-07-22 entry.</t>
        </is>
      </c>
    </row>
    <row r="6">
      <c r="A6" t="inlineStr">
        <is>
          <t>2026-08-02</t>
        </is>
      </c>
      <c r="B6" t="inlineStr">
        <is>
          <t>183361.44</t>
        </is>
      </c>
      <c r="C6" t="inlineStr">
        <is>
          <t>0</t>
        </is>
      </c>
      <c r="D6" t="inlineStr">
        <is>
          <t>auto-logged by run.py fetch on the Excel-backed branch (merged into main 2026-08-03). DO NOT compare directly with the 2026-08-03 row below: this figure comes from the branch's Excel portfolio state, which counted a different set of accounts than main's portfolio.json - notably it excludes the PayPal balance (~14,369 SEK) and the Handelsbanken accounts (~11,364 SEK). The ~36k gap versus the next row is an accounting-scope difference between the two parallel systems, NOT a loss. Reconciling the two scopes is tracked as an open item.</t>
        </is>
      </c>
    </row>
    <row r="7">
      <c r="A7" t="inlineStr">
        <is>
          <t>2026-08-03</t>
        </is>
      </c>
      <c r="B7" t="inlineStr">
        <is>
          <t>219194.49</t>
        </is>
      </c>
      <c r="C7" t="inlineStr">
        <is>
          <t>0</t>
        </is>
      </c>
      <c r="D7" t="inlineStr">
        <is>
          <t>weekly automated sweep. NOT directly comparable to the 2026-07-22 row (227703) as organic growth - this CSV has a logging gap covering the intervening 07-27/07-28 sessions, in which the Avanza Global purchase (119999 SEK), the Tundra sale (1535 SEK proceeds), and the Handelsbanken/SEB-&gt;ISK cash deployment all executed; those transactions, not market movement, account for most of the difference. No new contributions logged in portfolio.json since 07-22. COIN-XBT.ST priced at stale 2026-07-28 value (16218 SEK) - fresh equity fetch 404'd this sweep, see SESSION_LOG.md 2026-08-03 entry and reports/2026-08-03-council-memo.md.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cols>
    <col width="10" customWidth="1" min="1" max="1"/>
    <col width="13" customWidth="1" min="2" max="2"/>
    <col width="10" customWidth="1" min="3" max="3"/>
    <col width="10" customWidth="1" min="4" max="4"/>
    <col width="12" customWidth="1" min="5" max="5"/>
    <col width="18" customWidth="1" min="6" max="6"/>
    <col width="52" customWidth="1" min="7" max="7"/>
  </cols>
  <sheetData>
    <row r="1">
      <c r="A1" t="inlineStr">
        <is>
          <t>ticker</t>
        </is>
      </c>
      <c r="B1" t="inlineStr">
        <is>
          <t>field</t>
        </is>
      </c>
      <c r="C1" t="inlineStr">
        <is>
          <t>value</t>
        </is>
      </c>
      <c r="D1" t="inlineStr">
        <is>
          <t>currency</t>
        </is>
      </c>
      <c r="E1" t="inlineStr">
        <is>
          <t>as_of</t>
        </is>
      </c>
      <c r="F1" t="inlineStr">
        <is>
          <t>source</t>
        </is>
      </c>
      <c r="G1" t="inlineStr">
        <is>
          <t>notes</t>
        </is>
      </c>
    </row>
    <row r="2">
      <c r="A2" t="inlineStr">
        <is>
          <t>SHB-A.ST</t>
        </is>
      </c>
      <c r="B2" t="inlineStr">
        <is>
          <t>trailing_pe</t>
        </is>
      </c>
      <c r="C2" t="n">
        <v>11.8</v>
      </c>
      <c r="E2" t="inlineStr">
        <is>
          <t>2026-08-02</t>
        </is>
      </c>
      <c r="F2" t="inlineStr">
        <is>
          <t>user, Avanza app</t>
        </is>
      </c>
      <c r="G2" t="inlineStr">
        <is>
          <t>P/E not available from free automated sources for Swedish tickers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3" customWidth="1" min="1" max="1"/>
    <col width="52" customWidth="1" min="2" max="2"/>
    <col width="10" customWidth="1" min="3" max="3"/>
    <col width="10" customWidth="1" min="4" max="4"/>
    <col width="12" customWidth="1" min="5" max="5"/>
    <col width="10" customWidth="1" min="6" max="6"/>
    <col width="10" customWidth="1" min="7" max="7"/>
    <col width="20" customWidth="1" min="8" max="8"/>
    <col width="13" customWidth="1" min="9" max="9"/>
    <col width="12" customWidth="1" min="10" max="10"/>
    <col width="10" customWidth="1" min="11" max="11"/>
    <col width="10" customWidth="1" min="12" max="12"/>
    <col width="52" customWidth="1" min="13" max="13"/>
  </cols>
  <sheetData>
    <row r="1">
      <c r="A1" s="5" t="inlineStr">
        <is>
          <t>ticker</t>
        </is>
      </c>
      <c r="B1" s="5" t="inlineStr">
        <is>
          <t>name</t>
        </is>
      </c>
      <c r="C1" s="5" t="inlineStr">
        <is>
          <t>price</t>
        </is>
      </c>
      <c r="D1" s="5" t="inlineStr">
        <is>
          <t>pe_ratio</t>
        </is>
      </c>
      <c r="E1" s="5" t="inlineStr">
        <is>
          <t>market_cap</t>
        </is>
      </c>
      <c r="F1" s="5" t="inlineStr">
        <is>
          <t>sector</t>
        </is>
      </c>
      <c r="G1" s="5" t="inlineStr">
        <is>
          <t>industry</t>
        </is>
      </c>
      <c r="H1" s="5" t="inlineStr">
        <is>
          <t>dividend_yield_pct</t>
        </is>
      </c>
      <c r="I1" s="5" t="inlineStr">
        <is>
          <t>week52_high</t>
        </is>
      </c>
      <c r="J1" s="5" t="inlineStr">
        <is>
          <t>week52_low</t>
        </is>
      </c>
      <c r="K1" s="5" t="inlineStr">
        <is>
          <t>beta</t>
        </is>
      </c>
      <c r="L1" s="5" t="inlineStr">
        <is>
          <t>as_of</t>
        </is>
      </c>
      <c r="M1" s="5" t="inlineStr">
        <is>
          <t>notes</t>
        </is>
      </c>
    </row>
    <row r="2">
      <c r="M2" t="inlineStr">
        <is>
          <t>Use Excel's Stocks data type on the ticker, pull whatever fields you want into this row's columns, save. This sheet survives rebuilds. Run scripts/import_fundamentals_tab.py to fold values into data/company_profiles/.</t>
        </is>
      </c>
    </row>
    <row r="3">
      <c r="A3" t="inlineStr">
        <is>
          <t>ABB.ST</t>
        </is>
      </c>
      <c r="B3" t="inlineStr">
        <is>
          <t>ABB</t>
        </is>
      </c>
    </row>
    <row r="4">
      <c r="A4" t="inlineStr">
        <is>
          <t>ALFA.ST</t>
        </is>
      </c>
      <c r="B4" t="inlineStr">
        <is>
          <t>Alfa Laval</t>
        </is>
      </c>
    </row>
    <row r="5">
      <c r="A5" t="inlineStr">
        <is>
          <t>ATCO-B.ST</t>
        </is>
      </c>
      <c r="B5" t="inlineStr">
        <is>
          <t>Atlas Copco B</t>
        </is>
      </c>
    </row>
    <row r="6">
      <c r="A6" t="inlineStr">
        <is>
          <t>AZN.ST</t>
        </is>
      </c>
      <c r="B6" t="inlineStr">
        <is>
          <t>AstraZeneca</t>
        </is>
      </c>
    </row>
    <row r="7">
      <c r="A7" t="inlineStr">
        <is>
          <t>COIN-XBT.ST</t>
        </is>
      </c>
      <c r="B7" t="inlineStr">
        <is>
          <t>CoinShares XBT Provider Bitcoin Tracker One (certificate)</t>
        </is>
      </c>
    </row>
    <row r="8">
      <c r="A8" t="inlineStr">
        <is>
          <t>INVE-A.ST</t>
        </is>
      </c>
      <c r="B8" t="inlineStr">
        <is>
          <t>Investor A (stock)</t>
        </is>
      </c>
    </row>
    <row r="9">
      <c r="A9" t="inlineStr">
        <is>
          <t>SHB-A.ST</t>
        </is>
      </c>
      <c r="B9" t="inlineStr">
        <is>
          <t>Handelsbanken A (stock)</t>
        </is>
      </c>
    </row>
    <row r="10">
      <c r="A10" t="inlineStr">
        <is>
          <t>VOLV-B.ST</t>
        </is>
      </c>
      <c r="B10" t="inlineStr">
        <is>
          <t>Volvo 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2026-08-04T17:02:04Z</dcterms:created>
  <dcterms:modified xsi:type="dcterms:W3CDTF">2026-08-04T17:02:04Z</dcterms:modified>
</cp:coreProperties>
</file>