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rtfolio" sheetId="2" state="visible" r:id="rId2"/>
    <sheet name="Transactions" sheetId="3" state="visible" r:id="rId3"/>
    <sheet name="Watchlist" sheetId="4" state="visible" r:id="rId4"/>
    <sheet name="Universe" sheetId="5" state="visible" r:id="rId5"/>
    <sheet name="Investment Thesis" sheetId="6" state="visible" r:id="rId6"/>
    <sheet name="Pending Orders" sheetId="7" state="visible" r:id="rId7"/>
    <sheet name="Settings" sheetId="8" state="visible" r:id="rId8"/>
    <sheet name="Notes" sheetId="9" state="visible" r:id="rId9"/>
    <sheet name="_MarketCache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6E63"/>
      <sz val="18"/>
    </font>
    <font>
      <i val="1"/>
      <color rgb="005C6669"/>
      <sz val="9"/>
    </font>
    <font>
      <b val="1"/>
      <color rgb="001F6E63"/>
      <sz val="14"/>
    </font>
    <font>
      <b val="1"/>
      <sz val="12"/>
    </font>
    <font>
      <b val="1"/>
    </font>
    <font>
      <i val="1"/>
      <color rgb="008FA09D"/>
      <sz val="9"/>
    </font>
  </fonts>
  <fills count="3">
    <fill>
      <patternFill/>
    </fill>
    <fill>
      <patternFill patternType="gray125"/>
    </fill>
    <fill>
      <patternFill patternType="solid">
        <fgColor rgb="001F6E63"/>
        <bgColor rgb="001F6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>
      <c r="A1" s="1" t="inlineStr">
        <is>
          <t>Finance Council — Dashboard</t>
        </is>
      </c>
    </row>
    <row r="2">
      <c r="A2" s="2" t="inlineStr">
        <is>
          <t>Computed from Portfolio + _MarketCache. Never edit this sheet by hand.</t>
        </is>
      </c>
    </row>
    <row r="4">
      <c r="A4" s="3" t="inlineStr">
        <is>
          <t>PORTFOLIO TOTAL</t>
        </is>
      </c>
    </row>
    <row r="5">
      <c r="A5" s="4" t="inlineStr">
        <is>
          <t>Total value (SEK)</t>
        </is>
      </c>
      <c r="B5">
        <f>SUMPRODUCT((Portfolio!J2:J1000)*IFERROR(VLOOKUP(Portfolio!A2:A1000,_MarketCache!A:E,5,0),0))</f>
        <v/>
      </c>
      <c r="C5" s="2" t="inlineStr">
        <is>
          <t>Sum of each holding's quantity x current price, from _MarketCache</t>
        </is>
      </c>
    </row>
    <row r="7">
      <c r="A7" s="3" t="inlineStr">
        <is>
          <t>RISK TIER BREAKDOWN</t>
        </is>
      </c>
    </row>
    <row r="8">
      <c r="A8" s="5" t="inlineStr">
        <is>
          <t>Tier</t>
        </is>
      </c>
      <c r="B8" s="5" t="inlineStr">
        <is>
          <t>Value (SEK)</t>
        </is>
      </c>
      <c r="C8" s="5" t="inlineStr">
        <is>
          <t>Target %</t>
        </is>
      </c>
    </row>
    <row r="9">
      <c r="A9" t="inlineStr">
        <is>
          <t>Secure</t>
        </is>
      </c>
      <c r="B9">
        <f>SUMPRODUCT((Portfolio!H2:H1000="secure")*Portfolio!J2:J1000*IFERROR(VLOOKUP(Portfolio!A2:A1000,_MarketCache!A:E,5,0),0))/SUMPRODUCT((Portfolio!J2:J1000)*IFERROR(VLOOKUP(Portfolio!A2:A1000,_MarketCache!A:E,5,0),1))</f>
        <v/>
      </c>
      <c r="C9" t="inlineStr">
        <is>
          <t>60%</t>
        </is>
      </c>
    </row>
    <row r="10">
      <c r="A10" t="inlineStr">
        <is>
          <t>Medium</t>
        </is>
      </c>
      <c r="B10">
        <f>SUMPRODUCT((Portfolio!H2:H1000="medium")*Portfolio!J2:J1000*IFERROR(VLOOKUP(Portfolio!A2:A1000,_MarketCache!A:E,5,0),0))/SUMPRODUCT((Portfolio!J2:J1000)*IFERROR(VLOOKUP(Portfolio!A2:A1000,_MarketCache!A:E,5,0),1))</f>
        <v/>
      </c>
      <c r="C10" t="inlineStr">
        <is>
          <t>30%</t>
        </is>
      </c>
    </row>
    <row r="11">
      <c r="A11" t="inlineStr">
        <is>
          <t>High-risk</t>
        </is>
      </c>
      <c r="B11">
        <f>SUMPRODUCT((Portfolio!H2:H1000="high")*Portfolio!J2:J1000*IFERROR(VLOOKUP(Portfolio!A2:A1000,_MarketCache!A:E,5,0),0))/SUMPRODUCT((Portfolio!J2:J1000)*IFERROR(VLOOKUP(Portfolio!A2:A1000,_MarketCache!A:E,5,0),1))</f>
        <v/>
      </c>
      <c r="C11" t="inlineStr">
        <is>
          <t>10%</t>
        </is>
      </c>
    </row>
    <row r="13">
      <c r="A13" s="3" t="inlineStr">
        <is>
          <t>FEE DRAG</t>
        </is>
      </c>
    </row>
    <row r="14">
      <c r="A14" s="4" t="inlineStr">
        <is>
          <t>Total annual fees (SEK/yr)</t>
        </is>
      </c>
      <c r="B14">
        <f>SUMPRODUCT(Portfolio!M2:M1000/100*Portfolio!J2:J1000*IFERROR(VLOOKUP(Portfolio!A2:A1000,_MarketCache!A:E,5,0),0))</f>
        <v/>
      </c>
      <c r="C14" s="2" t="inlineStr">
        <is>
          <t>Sum of annual_fee_pct x market value per holding</t>
        </is>
      </c>
    </row>
    <row r="16">
      <c r="A16" s="3" t="inlineStr">
        <is>
          <t>DATA FRESHNESS</t>
        </is>
      </c>
    </row>
    <row r="17">
      <c r="A17" s="4" t="inlineStr">
        <is>
          <t>Last sync</t>
        </is>
      </c>
      <c r="B17" t="inlineStr">
        <is>
          <t>2026-08-01 07:58 UTC</t>
        </is>
      </c>
    </row>
    <row r="19">
      <c r="A19" s="6" t="inlineStr">
        <is>
          <t>Add new KPIs below this line — this sheet is designed to grow.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22" customWidth="1" min="12" max="12"/>
    <col width="16" customWidth="1" min="13" max="13"/>
    <col width="15" customWidth="1" min="14" max="14"/>
    <col width="18" customWidth="1" min="15" max="15"/>
    <col width="14" customWidth="1" min="16" max="16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account_id</t>
        </is>
      </c>
      <c r="D1" s="7" t="inlineStr">
        <is>
          <t>institution</t>
        </is>
      </c>
      <c r="E1" s="7" t="inlineStr">
        <is>
          <t>wrapper</t>
        </is>
      </c>
      <c r="F1" s="7" t="inlineStr">
        <is>
          <t>instrument_type</t>
        </is>
      </c>
      <c r="G1" s="7" t="inlineStr">
        <is>
          <t>exposure_class</t>
        </is>
      </c>
      <c r="H1" s="7" t="inlineStr">
        <is>
          <t>risk_tier</t>
        </is>
      </c>
      <c r="I1" s="7" t="inlineStr">
        <is>
          <t>currency</t>
        </is>
      </c>
      <c r="J1" s="7" t="inlineStr">
        <is>
          <t>quantity</t>
        </is>
      </c>
      <c r="K1" s="7" t="inlineStr">
        <is>
          <t>cost_basis_per_unit</t>
        </is>
      </c>
      <c r="L1" s="7" t="inlineStr">
        <is>
          <t>cost_basis_total_sek</t>
        </is>
      </c>
      <c r="M1" s="7" t="inlineStr">
        <is>
          <t>annual_fee_pct</t>
        </is>
      </c>
      <c r="N1" s="7" t="inlineStr">
        <is>
          <t>date_acquired</t>
        </is>
      </c>
      <c r="O1" s="7" t="inlineStr">
        <is>
          <t>no_ticker_reason</t>
        </is>
      </c>
      <c r="P1" s="7" t="inlineStr">
        <is>
          <t>notes</t>
        </is>
      </c>
    </row>
    <row r="2">
      <c r="A2" t="inlineStr">
        <is>
          <t>CASH_SEK</t>
        </is>
      </c>
      <c r="B2" t="inlineStr">
        <is>
          <t>Tax-reserve sparkonto (2027 deklaration - confirmed HB + SEB capital-gains tax)</t>
        </is>
      </c>
      <c r="C2" t="inlineStr">
        <is>
          <t>hb-main</t>
        </is>
      </c>
      <c r="D2" t="inlineStr">
        <is>
          <t>Handelsbanken</t>
        </is>
      </c>
      <c r="E2" t="inlineStr">
        <is>
          <t>SPARKONTO</t>
        </is>
      </c>
      <c r="F2" t="inlineStr">
        <is>
          <t>cash</t>
        </is>
      </c>
      <c r="G2" t="inlineStr">
        <is>
          <t>cash</t>
        </is>
      </c>
      <c r="H2" t="inlineStr">
        <is>
          <t>cash</t>
        </is>
      </c>
      <c r="I2" t="inlineStr">
        <is>
          <t>SEK</t>
        </is>
      </c>
      <c r="J2" t="n">
        <v>9017</v>
      </c>
      <c r="N2" t="inlineStr">
        <is>
          <t>2026-07-20</t>
        </is>
      </c>
      <c r="P2" t="inlineStr">
        <is>
          <t>Not an investment - deliberate tax reserve, not deployable. Combined confirmed tax owed is 11,493.28 SEK (8,455.86 HB + 3,037.42 SEB, both confirmed, see seb-fund.confirmed_tax_owed_sek). Current bala…see Investment Thesis sheet</t>
        </is>
      </c>
    </row>
    <row r="3">
      <c r="A3" t="inlineStr">
        <is>
          <t>CASH_SEK</t>
        </is>
      </c>
      <c r="B3" t="inlineStr">
        <is>
          <t>Handelsbanken normal/checking account</t>
        </is>
      </c>
      <c r="C3" t="inlineStr">
        <is>
          <t>hb-checking</t>
        </is>
      </c>
      <c r="D3" t="inlineStr">
        <is>
          <t>Handelsbanken</t>
        </is>
      </c>
      <c r="E3" t="inlineStr">
        <is>
          <t>NONE</t>
        </is>
      </c>
      <c r="F3" t="inlineStr">
        <is>
          <t>cash</t>
        </is>
      </c>
      <c r="G3" t="inlineStr">
        <is>
          <t>cash</t>
        </is>
      </c>
      <c r="H3" t="inlineStr">
        <is>
          <t>cash</t>
        </is>
      </c>
      <c r="I3" t="inlineStr">
        <is>
          <t>SEK</t>
        </is>
      </c>
      <c r="J3" t="n">
        <v>611</v>
      </c>
      <c r="N3" t="inlineStr">
        <is>
          <t>2026-07-22</t>
        </is>
      </c>
      <c r="P3" t="inlineStr">
        <is>
          <t>Not an investment - ordinary transaction/checking cash, newly disclosed 2026-07-22. Not part of any glidepath or risk-tier target.…see Investment Thesis sheet</t>
        </is>
      </c>
    </row>
    <row r="4">
      <c r="A4" t="inlineStr">
        <is>
          <t>SHB-A.ST</t>
        </is>
      </c>
      <c r="B4" t="inlineStr">
        <is>
          <t>Handelsbanken A (stock)</t>
        </is>
      </c>
      <c r="C4" t="inlineStr">
        <is>
          <t>avanza-isk</t>
        </is>
      </c>
      <c r="D4" t="inlineStr">
        <is>
          <t>Avanza</t>
        </is>
      </c>
      <c r="E4" t="inlineStr">
        <is>
          <t>ISK</t>
        </is>
      </c>
      <c r="F4" t="inlineStr">
        <is>
          <t>stock</t>
        </is>
      </c>
      <c r="G4" t="inlineStr">
        <is>
          <t>equity</t>
        </is>
      </c>
      <c r="H4" t="inlineStr">
        <is>
          <t>medium</t>
        </is>
      </c>
      <c r="J4" t="n">
        <v>1</v>
      </c>
      <c r="K4" t="n">
        <v>129.25</v>
      </c>
      <c r="P4" t="inlineStr">
        <is>
          <t>TBD - itemized 2026-07-13 from live Avanza snapshot, no stated reason for holding yet. Direktavkastning 5.58%, P/E 11.95. Next report 2026-07-15 (delarsrapport) - unrelated to the pending HB fondkonto…see Investment Thesis sheet</t>
        </is>
      </c>
    </row>
    <row r="5">
      <c r="A5" t="inlineStr">
        <is>
          <t>INVE-A.ST</t>
        </is>
      </c>
      <c r="B5" t="inlineStr">
        <is>
          <t>Investor A (stock)</t>
        </is>
      </c>
      <c r="C5" t="inlineStr">
        <is>
          <t>avanza-isk</t>
        </is>
      </c>
      <c r="D5" t="inlineStr">
        <is>
          <t>Avanza</t>
        </is>
      </c>
      <c r="E5" t="inlineStr">
        <is>
          <t>ISK</t>
        </is>
      </c>
      <c r="F5" t="inlineStr">
        <is>
          <t>stock</t>
        </is>
      </c>
      <c r="G5" t="inlineStr">
        <is>
          <t>equity</t>
        </is>
      </c>
      <c r="H5" t="inlineStr">
        <is>
          <t>medium</t>
        </is>
      </c>
      <c r="J5" t="n">
        <v>5</v>
      </c>
      <c r="K5" t="n">
        <v>290.22</v>
      </c>
      <c r="P5" t="inlineStr">
        <is>
          <t>TBD - itemized 2026-07-13 from live Avanza snapshot, no stated reason for holding yet. Direktavkastning 1.45%, P/E 6.22. Next report 2026-07-16 (delarsrapport).…see Investment Thesis sheet</t>
        </is>
      </c>
    </row>
    <row r="6">
      <c r="A6" t="inlineStr">
        <is>
          <t>TBD</t>
        </is>
      </c>
      <c r="B6" t="inlineStr">
        <is>
          <t>Avanza Auto 3 (fund)</t>
        </is>
      </c>
      <c r="C6" t="inlineStr">
        <is>
          <t>avanza-isk</t>
        </is>
      </c>
      <c r="D6" t="inlineStr">
        <is>
          <t>Avanza</t>
        </is>
      </c>
      <c r="E6" t="inlineStr">
        <is>
          <t>ISK</t>
        </is>
      </c>
      <c r="F6" t="inlineStr">
        <is>
          <t>fund</t>
        </is>
      </c>
      <c r="G6" t="inlineStr">
        <is>
          <t>mixed</t>
        </is>
      </c>
      <c r="H6" t="inlineStr">
        <is>
          <t>secure</t>
        </is>
      </c>
      <c r="L6" t="n">
        <v>9800.299999999999</v>
      </c>
      <c r="M6" t="n">
        <v>0.39</v>
      </c>
      <c r="O6" t="inlineStr">
        <is>
          <t>UNLISTED FUND (user-confirmed 2026-07-31) - Avanza Auto 3 exists only on Avanza's own fund platform, not on a public exchange. No ticker/ISIN will ever resolve for it via Yahoo/SEC or any exchange-based fetch. This is PERMANENT, not a data gap awaiting a fix - do not keep re-flagging it as an open item each sweep.</t>
        </is>
      </c>
      <c r="P6" t="inlineStr">
        <is>
          <t>CONFIRMED from factsheet 2026-07-22: multi-asset fund, ~60% equity exposure (40-70% range) blended with bonds/alternatives, 0.39% total annual fee (0.35% management + ~0.04% transaction), recommended …see Investment Thesis sheet</t>
        </is>
      </c>
    </row>
    <row r="7">
      <c r="A7" t="inlineStr">
        <is>
          <t>TBD</t>
        </is>
      </c>
      <c r="B7" t="inlineStr">
        <is>
          <t>Tundra Sustainable Frontier Fund A SEK</t>
        </is>
      </c>
      <c r="C7" t="inlineStr">
        <is>
          <t>avanza-isk</t>
        </is>
      </c>
      <c r="D7" t="inlineStr">
        <is>
          <t>Avanza</t>
        </is>
      </c>
      <c r="E7" t="inlineStr">
        <is>
          <t>ISK</t>
        </is>
      </c>
      <c r="F7" t="inlineStr">
        <is>
          <t>fund</t>
        </is>
      </c>
      <c r="G7" t="inlineStr">
        <is>
          <t>equity</t>
        </is>
      </c>
      <c r="H7" t="inlineStr">
        <is>
          <t>unassigned</t>
        </is>
      </c>
      <c r="J7" t="n">
        <v>0</v>
      </c>
      <c r="L7" t="n">
        <v>1000</v>
      </c>
      <c r="M7" t="n">
        <v>2.6</v>
      </c>
      <c r="P7" t="inlineStr">
        <is>
          <t>SOLD 2026-07-29 (user-confirmed EXECUTED, exact trade date not specified - sits within the 2026-07-22 to 2026-07-29 window): sale settled for 1,534.86 SEK proceeds (vs. the 1,563 SEK stale 2026-07-13 …see Investment Thesis sheet</t>
        </is>
      </c>
    </row>
    <row r="8">
      <c r="A8" t="inlineStr">
        <is>
          <t>COIN-XBT.ST</t>
        </is>
      </c>
      <c r="B8" t="inlineStr">
        <is>
          <t>CoinShares XBT Provider Bitcoin Tracker One (certificate)</t>
        </is>
      </c>
      <c r="C8" t="inlineStr">
        <is>
          <t>avanza-isk</t>
        </is>
      </c>
      <c r="D8" t="inlineStr">
        <is>
          <t>Avanza</t>
        </is>
      </c>
      <c r="E8" t="inlineStr">
        <is>
          <t>ISK</t>
        </is>
      </c>
      <c r="F8" t="inlineStr">
        <is>
          <t>certificate</t>
        </is>
      </c>
      <c r="G8" t="inlineStr">
        <is>
          <t>crypto</t>
        </is>
      </c>
      <c r="H8" t="inlineStr">
        <is>
          <t>high</t>
        </is>
      </c>
      <c r="J8" t="n">
        <v>6</v>
      </c>
      <c r="K8" t="n">
        <v>2016.67</v>
      </c>
      <c r="M8" t="n">
        <v>2.5</v>
      </c>
      <c r="P8" t="inlineStr">
        <is>
          <t>SEE ALSO open question 19 (2026-07-31): a candidate fee-drag switch to Valour Bitcoin Zero SEK (0% mgmt fee vs this certificate's 2.5-3.64%) is under evaluation - would preserve full BTC exposure (com…see Investment Thesis sheet</t>
        </is>
      </c>
    </row>
    <row r="9">
      <c r="A9" t="inlineStr">
        <is>
          <t>TBD</t>
        </is>
      </c>
      <c r="B9" t="inlineStr">
        <is>
          <t>Avanza Global (fund)</t>
        </is>
      </c>
      <c r="C9" t="inlineStr">
        <is>
          <t>avanza-isk</t>
        </is>
      </c>
      <c r="D9" t="inlineStr">
        <is>
          <t>Avanza</t>
        </is>
      </c>
      <c r="E9" t="inlineStr">
        <is>
          <t>ISK</t>
        </is>
      </c>
      <c r="F9" t="inlineStr">
        <is>
          <t>fund</t>
        </is>
      </c>
      <c r="G9" t="inlineStr">
        <is>
          <t>equity</t>
        </is>
      </c>
      <c r="H9" t="inlineStr">
        <is>
          <t>secure</t>
        </is>
      </c>
      <c r="L9" t="n">
        <v>119999</v>
      </c>
      <c r="M9" t="n">
        <v>0.1</v>
      </c>
      <c r="N9" t="inlineStr">
        <is>
          <t>2026-07-29 (approximate - user reported the purchase 2026-07-29 as having happened 'a couple of days ago'; exact trade date not yet confirmed)</t>
        </is>
      </c>
      <c r="O9" t="inlineStr">
        <is>
          <t>UNLISTED FUND (user-confirmed 2026-07-31) - Avanza Global exists only on Avanza's own fund platform, not on a public exchange. No ticker/ISIN will ever resolve for it via Yahoo/SEC or any exchange-based fetch. This is PERMANENT, not a data gap awaiting a fix - do not keep re-flagging it as an open item each sweep.</t>
        </is>
      </c>
      <c r="P9" t="inlineStr">
        <is>
          <t>SETTLED 2026-07-29 (user-confirmed EXECUTED - this was previously recommended as the secure-tier deployment core but had NOT been logged as bought; user flagged the logging gap 2026-07-29). Global equ…see Investment Thesis sheet</t>
        </is>
      </c>
    </row>
    <row r="10">
      <c r="A10" t="inlineStr">
        <is>
          <t>CASH_SEK</t>
        </is>
      </c>
      <c r="B10" t="inlineStr">
        <is>
          <t>Avanza ISK available cash</t>
        </is>
      </c>
      <c r="C10" t="inlineStr">
        <is>
          <t>avanza-isk</t>
        </is>
      </c>
      <c r="D10" t="inlineStr">
        <is>
          <t>Avanza</t>
        </is>
      </c>
      <c r="E10" t="inlineStr">
        <is>
          <t>ISK</t>
        </is>
      </c>
      <c r="F10" t="inlineStr">
        <is>
          <t>cash</t>
        </is>
      </c>
      <c r="G10" t="inlineStr">
        <is>
          <t>cash</t>
        </is>
      </c>
      <c r="H10" t="inlineStr">
        <is>
          <t>cash</t>
        </is>
      </c>
      <c r="I10" t="inlineStr">
        <is>
          <t>SEK</t>
        </is>
      </c>
      <c r="J10" t="n">
        <v>26399.86</v>
      </c>
      <c r="N10" t="inlineStr">
        <is>
          <t>2026-07-29</t>
        </is>
      </c>
      <c r="P10" t="inlineStr">
        <is>
          <t>Not an investment - uninvested cash. RECONCILED 2026-07-29: prior 144,864 SEK (confirmed 2026-07-22) minus the 119,999 SEK Avanza Global purchase plus the 1,534.86 SEK Tundra sale proceeds = 26,399.86…see Investment Thesis sheet</t>
        </is>
      </c>
    </row>
    <row r="11">
      <c r="A11" t="inlineStr">
        <is>
          <t>TBD</t>
        </is>
      </c>
      <c r="B11" t="inlineStr">
        <is>
          <t>Swedbank fund</t>
        </is>
      </c>
      <c r="C11" t="inlineStr">
        <is>
          <t>swedbank-fund</t>
        </is>
      </c>
      <c r="D11" t="inlineStr">
        <is>
          <t>Swedbank</t>
        </is>
      </c>
      <c r="E11" t="inlineStr">
        <is>
          <t>AF</t>
        </is>
      </c>
      <c r="F11" t="inlineStr">
        <is>
          <t>fund</t>
        </is>
      </c>
      <c r="G11" t="inlineStr">
        <is>
          <t>mixed</t>
        </is>
      </c>
      <c r="H11" t="inlineStr">
        <is>
          <t>unassigned</t>
        </is>
      </c>
      <c r="O11" t="inlineStr">
        <is>
          <t>LIKELY UNLISTED FUND (inferred 2026-07-31, NOT explicitly confirmed by user - flag if this differs): probably a Swedbank Robur-style fund on Swedbank's own platform, same structural situation as Avanza Auto 3/Avanza Global. Treated as probably-permanent pending user confirmation, not re-flagged as an urgent open item each sweep.</t>
        </is>
      </c>
      <c r="P11" t="inlineStr">
        <is>
          <t>Legacy childhood savings - no active thesis. Decision needed: keep, or realize small gain and move into ISK.…see Investment Thesis sheet</t>
        </is>
      </c>
    </row>
    <row r="12">
      <c r="A12" t="inlineStr">
        <is>
          <t>CASH_SEK</t>
        </is>
      </c>
      <c r="B12" t="inlineStr">
        <is>
          <t>SEB fund proceeds - fully transferred to Avanza ISK 2026-07-20</t>
        </is>
      </c>
      <c r="C12" t="inlineStr">
        <is>
          <t>seb-fund</t>
        </is>
      </c>
      <c r="D12" t="inlineStr">
        <is>
          <t>SEB</t>
        </is>
      </c>
      <c r="E12" t="inlineStr">
        <is>
          <t>AF</t>
        </is>
      </c>
      <c r="F12" t="inlineStr">
        <is>
          <t>cash</t>
        </is>
      </c>
      <c r="G12" t="inlineStr">
        <is>
          <t>cash</t>
        </is>
      </c>
      <c r="H12" t="inlineStr">
        <is>
          <t>cash</t>
        </is>
      </c>
      <c r="I12" t="inlineStr">
        <is>
          <t>SEK</t>
        </is>
      </c>
      <c r="J12" t="n">
        <v>0</v>
      </c>
      <c r="N12" t="inlineStr">
        <is>
          <t>2026-07-12</t>
        </is>
      </c>
      <c r="P12" t="inlineStr">
        <is>
          <t>Not an investment. Full 17,382.43 SEK transferred to Avanza ISK 2026-07-20 (see avanza-isk cash holding). Realized gain still unknown - open question 4 not closed by this transfer, only the practical …see Investment Thesis sheet</t>
        </is>
      </c>
    </row>
    <row r="13">
      <c r="A13" t="inlineStr">
        <is>
          <t>ethereum</t>
        </is>
      </c>
      <c r="B13" t="inlineStr">
        <is>
          <t>ETH (self-custody wallet)</t>
        </is>
      </c>
      <c r="C13" t="inlineStr">
        <is>
          <t>eth-wallet</t>
        </is>
      </c>
      <c r="D13" t="inlineStr">
        <is>
          <t>personal wallet</t>
        </is>
      </c>
      <c r="E13" t="inlineStr">
        <is>
          <t>SELF_CUSTODY</t>
        </is>
      </c>
      <c r="F13" t="inlineStr">
        <is>
          <t>spot_crypto</t>
        </is>
      </c>
      <c r="G13" t="inlineStr">
        <is>
          <t>crypto</t>
        </is>
      </c>
      <c r="H13" t="inlineStr">
        <is>
          <t>high</t>
        </is>
      </c>
      <c r="M13" t="n">
        <v>0</v>
      </c>
      <c r="P13" t="inlineStr">
        <is>
          <t>TBD…see Investment Thesis sheet</t>
        </is>
      </c>
    </row>
    <row r="14">
      <c r="A14" t="inlineStr">
        <is>
          <t>CASH_USD</t>
        </is>
      </c>
      <c r="B14" t="inlineStr">
        <is>
          <t>PayPal USD balance</t>
        </is>
      </c>
      <c r="C14" t="inlineStr">
        <is>
          <t>paypal</t>
        </is>
      </c>
      <c r="D14" t="inlineStr">
        <is>
          <t>PayPal</t>
        </is>
      </c>
      <c r="E14" t="inlineStr">
        <is>
          <t>PAYPAL_BALANCE</t>
        </is>
      </c>
      <c r="F14" t="inlineStr">
        <is>
          <t>cash</t>
        </is>
      </c>
      <c r="G14" t="inlineStr">
        <is>
          <t>cash</t>
        </is>
      </c>
      <c r="H14" t="inlineStr">
        <is>
          <t>cash</t>
        </is>
      </c>
      <c r="I14" t="inlineStr">
        <is>
          <t>USD</t>
        </is>
      </c>
      <c r="J14" t="n">
        <v>1177.49</v>
      </c>
      <c r="P14" t="inlineStr">
        <is>
          <t>Not an investment - idle payment-platform balance from incoming payments. Sits outside any wrapper, earns nothing, and is exposed to PayPal's conversion spread on any USD-&gt;SEK move. Needs a routing de…see Investment Thesis sheet</t>
        </is>
      </c>
    </row>
    <row r="15">
      <c r="A15" t="inlineStr">
        <is>
          <t>CASH_EUR</t>
        </is>
      </c>
      <c r="B15" t="inlineStr">
        <is>
          <t>PayPal EUR balance</t>
        </is>
      </c>
      <c r="C15" t="inlineStr">
        <is>
          <t>paypal</t>
        </is>
      </c>
      <c r="D15" t="inlineStr">
        <is>
          <t>PayPal</t>
        </is>
      </c>
      <c r="E15" t="inlineStr">
        <is>
          <t>PAYPAL_BALANCE</t>
        </is>
      </c>
      <c r="F15" t="inlineStr">
        <is>
          <t>cash</t>
        </is>
      </c>
      <c r="G15" t="inlineStr">
        <is>
          <t>cash</t>
        </is>
      </c>
      <c r="H15" t="inlineStr">
        <is>
          <t>cash</t>
        </is>
      </c>
      <c r="I15" t="inlineStr">
        <is>
          <t>EUR</t>
        </is>
      </c>
      <c r="J15" t="n">
        <v>266.88</v>
      </c>
      <c r="P15" t="inlineStr">
        <is>
          <t>Not an investment - idle payment-platform balance. Recurring EUR inflow (~750-1000 EUR / ~2mo) lands here - same routing decision as the USD balance applies, and matters more given the recurring caden…see Investment Thesis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2" customWidth="1" min="8" max="8"/>
    <col width="14" customWidth="1" min="9" max="9"/>
    <col width="18" customWidth="1" min="10" max="10"/>
    <col width="14" customWidth="1" min="11" max="11"/>
  </cols>
  <sheetData>
    <row r="1">
      <c r="A1" s="7" t="inlineStr">
        <is>
          <t>date</t>
        </is>
      </c>
      <c r="B1" s="7" t="inlineStr">
        <is>
          <t>ticker</t>
        </is>
      </c>
      <c r="C1" s="7" t="inlineStr">
        <is>
          <t>account_id</t>
        </is>
      </c>
      <c r="D1" s="7" t="inlineStr">
        <is>
          <t>action</t>
        </is>
      </c>
      <c r="E1" s="7" t="inlineStr">
        <is>
          <t>quantity</t>
        </is>
      </c>
      <c r="F1" s="7" t="inlineStr">
        <is>
          <t>price_per_unit</t>
        </is>
      </c>
      <c r="G1" s="7" t="inlineStr">
        <is>
          <t>currency</t>
        </is>
      </c>
      <c r="H1" s="7" t="inlineStr">
        <is>
          <t>proceeds_or_cost_sek</t>
        </is>
      </c>
      <c r="I1" s="7" t="inlineStr">
        <is>
          <t>tax_sek</t>
        </is>
      </c>
      <c r="J1" s="7" t="inlineStr">
        <is>
          <t>tax_free_wrapper</t>
        </is>
      </c>
      <c r="K1" s="7" t="inlineStr">
        <is>
          <t>notes</t>
        </is>
      </c>
    </row>
    <row r="2">
      <c r="A2" t="inlineStr">
        <is>
          <t>2026-07-12</t>
        </is>
      </c>
      <c r="B2" t="inlineStr">
        <is>
          <t>HB Auto 50 (fund)</t>
        </is>
      </c>
      <c r="C2" t="inlineStr">
        <is>
          <t>hb-main</t>
        </is>
      </c>
      <c r="D2" t="inlineStr">
        <is>
          <t>SELL</t>
        </is>
      </c>
      <c r="G2" t="inlineStr">
        <is>
          <t>SEK</t>
        </is>
      </c>
      <c r="H2" t="n">
        <v>97659.99000000001</v>
      </c>
      <c r="I2" t="n">
        <v>5765.61</v>
      </c>
      <c r="J2" t="inlineStr">
        <is>
          <t>no</t>
        </is>
      </c>
      <c r="K2" t="inlineStr">
        <is>
          <t>Genomsnittsmetoden; part of the HB fondkonto exit</t>
        </is>
      </c>
    </row>
    <row r="3">
      <c r="A3" t="inlineStr">
        <is>
          <t>2026-07-12</t>
        </is>
      </c>
      <c r="B3" t="inlineStr">
        <is>
          <t>HB Auto 75 (fund)</t>
        </is>
      </c>
      <c r="C3" t="inlineStr">
        <is>
          <t>hb-main</t>
        </is>
      </c>
      <c r="D3" t="inlineStr">
        <is>
          <t>SELL</t>
        </is>
      </c>
      <c r="G3" t="inlineStr">
        <is>
          <t>SEK</t>
        </is>
      </c>
      <c r="H3" t="n">
        <v>35997.42</v>
      </c>
      <c r="I3" t="n">
        <v>2690.25</v>
      </c>
      <c r="J3" t="inlineStr">
        <is>
          <t>no</t>
        </is>
      </c>
      <c r="K3" t="inlineStr">
        <is>
          <t>Genomsnittsmetoden; part of the HB fondkonto exit</t>
        </is>
      </c>
    </row>
    <row r="4">
      <c r="A4" t="inlineStr">
        <is>
          <t>2026-07-20</t>
        </is>
      </c>
      <c r="B4" t="inlineStr">
        <is>
          <t>CASH_SEK</t>
        </is>
      </c>
      <c r="C4" t="inlineStr">
        <is>
          <t>hb-main→avanza-isk</t>
        </is>
      </c>
      <c r="D4" t="inlineStr">
        <is>
          <t>TRANSFER</t>
        </is>
      </c>
      <c r="G4" t="inlineStr">
        <is>
          <t>SEK</t>
        </is>
      </c>
      <c r="H4" t="n">
        <v>127611.83</v>
      </c>
      <c r="I4" t="n">
        <v>0</v>
      </c>
      <c r="J4" t="inlineStr">
        <is>
          <t>n/a</t>
        </is>
      </c>
      <c r="K4" t="inlineStr">
        <is>
          <t>HB fondkonto exit proceeds transferred to Avanza ISK</t>
        </is>
      </c>
    </row>
    <row r="5">
      <c r="A5" t="inlineStr">
        <is>
          <t>2026-07-08</t>
        </is>
      </c>
      <c r="B5" t="inlineStr">
        <is>
          <t>SEB Europafond</t>
        </is>
      </c>
      <c r="C5" t="inlineStr">
        <is>
          <t>seb-fund</t>
        </is>
      </c>
      <c r="D5" t="inlineStr">
        <is>
          <t>SELL</t>
        </is>
      </c>
      <c r="G5" t="inlineStr">
        <is>
          <t>SEK</t>
        </is>
      </c>
      <c r="H5" t="n">
        <v>1591.83</v>
      </c>
      <c r="I5" t="n">
        <v>208.9</v>
      </c>
      <c r="J5" t="inlineStr">
        <is>
          <t>no</t>
        </is>
      </c>
      <c r="K5" t="inlineStr">
        <is>
          <t>cost basis 895.51 SEK, kapitalvinst 696.32 SEK</t>
        </is>
      </c>
    </row>
    <row r="6">
      <c r="A6" t="inlineStr">
        <is>
          <t>2026-07-08</t>
        </is>
      </c>
      <c r="B6" t="inlineStr">
        <is>
          <t>SEB Nordenfond A (remaining)</t>
        </is>
      </c>
      <c r="C6" t="inlineStr">
        <is>
          <t>seb-fund</t>
        </is>
      </c>
      <c r="D6" t="inlineStr">
        <is>
          <t>SELL</t>
        </is>
      </c>
      <c r="G6" t="inlineStr">
        <is>
          <t>SEK</t>
        </is>
      </c>
      <c r="H6" t="n">
        <v>5507.46</v>
      </c>
      <c r="I6" t="n">
        <v>1254.73</v>
      </c>
      <c r="J6" t="inlineStr">
        <is>
          <t>no</t>
        </is>
      </c>
      <c r="K6" t="inlineStr">
        <is>
          <t>cost basis 1325.03 SEK, kapitalvinst 4182.43 SEK</t>
        </is>
      </c>
    </row>
    <row r="7">
      <c r="A7" t="inlineStr">
        <is>
          <t>2026-07-08</t>
        </is>
      </c>
      <c r="B7" t="inlineStr">
        <is>
          <t>SEB Obligationsfond Flexibel A</t>
        </is>
      </c>
      <c r="C7" t="inlineStr">
        <is>
          <t>seb-fund</t>
        </is>
      </c>
      <c r="D7" t="inlineStr">
        <is>
          <t>SELL</t>
        </is>
      </c>
      <c r="G7" t="inlineStr">
        <is>
          <t>SEK</t>
        </is>
      </c>
      <c r="H7" t="n">
        <v>1428.94</v>
      </c>
      <c r="I7" t="n">
        <v>53.68</v>
      </c>
      <c r="J7" t="inlineStr">
        <is>
          <t>no</t>
        </is>
      </c>
      <c r="K7" t="inlineStr">
        <is>
          <t>cost basis 1250.0 SEK, kapitalvinst 178.94 SEK</t>
        </is>
      </c>
    </row>
    <row r="8">
      <c r="A8" t="inlineStr">
        <is>
          <t>2026-07-08</t>
        </is>
      </c>
      <c r="B8" t="inlineStr">
        <is>
          <t>SEB Sverigefond</t>
        </is>
      </c>
      <c r="C8" t="inlineStr">
        <is>
          <t>seb-fund</t>
        </is>
      </c>
      <c r="D8" t="inlineStr">
        <is>
          <t>SELL</t>
        </is>
      </c>
      <c r="G8" t="inlineStr">
        <is>
          <t>SEK</t>
        </is>
      </c>
      <c r="H8" t="n">
        <v>2841.9</v>
      </c>
      <c r="I8" t="n">
        <v>697.4400000000001</v>
      </c>
      <c r="J8" t="inlineStr">
        <is>
          <t>no</t>
        </is>
      </c>
      <c r="K8" t="inlineStr">
        <is>
          <t>cost basis 517.1 SEK, kapitalvinst 2324.8 SEK</t>
        </is>
      </c>
    </row>
    <row r="9">
      <c r="A9" t="inlineStr">
        <is>
          <t>2026-07-09</t>
        </is>
      </c>
      <c r="B9" t="inlineStr">
        <is>
          <t>SEB Global Focus C USD (remaining)</t>
        </is>
      </c>
      <c r="C9" t="inlineStr">
        <is>
          <t>seb-fund</t>
        </is>
      </c>
      <c r="D9" t="inlineStr">
        <is>
          <t>SELL</t>
        </is>
      </c>
      <c r="G9" t="inlineStr">
        <is>
          <t>SEK</t>
        </is>
      </c>
      <c r="H9" t="n">
        <v>2187.99</v>
      </c>
      <c r="I9" t="n">
        <v>514.65</v>
      </c>
      <c r="J9" t="inlineStr">
        <is>
          <t>no</t>
        </is>
      </c>
      <c r="K9" t="inlineStr">
        <is>
          <t>cost basis 472.5 SEK, kapitalvinst 1715.49 SEK</t>
        </is>
      </c>
    </row>
    <row r="10">
      <c r="A10" t="inlineStr">
        <is>
          <t>2026-07-10</t>
        </is>
      </c>
      <c r="B10" t="inlineStr">
        <is>
          <t>SEB Emerging Markets C USD Lux</t>
        </is>
      </c>
      <c r="C10" t="inlineStr">
        <is>
          <t>seb-fund</t>
        </is>
      </c>
      <c r="D10" t="inlineStr">
        <is>
          <t>SELL</t>
        </is>
      </c>
      <c r="G10" t="inlineStr">
        <is>
          <t>SEK</t>
        </is>
      </c>
      <c r="H10" t="n">
        <v>752.73</v>
      </c>
      <c r="I10" t="n">
        <v>150.82</v>
      </c>
      <c r="J10" t="inlineStr">
        <is>
          <t>no</t>
        </is>
      </c>
      <c r="K10" t="inlineStr">
        <is>
          <t>cost basis 250.0 SEK, kapitalvinst 502.73 SEK</t>
        </is>
      </c>
    </row>
    <row r="11">
      <c r="A11" t="inlineStr">
        <is>
          <t>2026-07-10</t>
        </is>
      </c>
      <c r="B11" t="inlineStr">
        <is>
          <t>SEB Emerging Marketsfond</t>
        </is>
      </c>
      <c r="C11" t="inlineStr">
        <is>
          <t>seb-fund</t>
        </is>
      </c>
      <c r="D11" t="inlineStr">
        <is>
          <t>SELL</t>
        </is>
      </c>
      <c r="G11" t="inlineStr">
        <is>
          <t>SEK</t>
        </is>
      </c>
      <c r="H11" t="n">
        <v>2989.87</v>
      </c>
      <c r="I11" t="n">
        <v>157.21</v>
      </c>
      <c r="J11" t="inlineStr">
        <is>
          <t>no</t>
        </is>
      </c>
      <c r="K11" t="inlineStr">
        <is>
          <t>cost basis 2465.84 SEK, kapitalvinst 524.03 SEK</t>
        </is>
      </c>
    </row>
    <row r="12">
      <c r="A12" t="inlineStr">
        <is>
          <t>2026-07-20</t>
        </is>
      </c>
      <c r="B12" t="inlineStr">
        <is>
          <t>CASH_SEK</t>
        </is>
      </c>
      <c r="C12" t="inlineStr">
        <is>
          <t>seb-fund→avanza-isk</t>
        </is>
      </c>
      <c r="D12" t="inlineStr">
        <is>
          <t>TRANSFER</t>
        </is>
      </c>
      <c r="G12" t="inlineStr">
        <is>
          <t>SEK</t>
        </is>
      </c>
      <c r="H12" t="n">
        <v>17382.43</v>
      </c>
      <c r="I12" t="n">
        <v>0</v>
      </c>
      <c r="J12" t="inlineStr">
        <is>
          <t>n/a</t>
        </is>
      </c>
      <c r="K12" t="inlineStr">
        <is>
          <t>SEB fund proceeds transferred to Avanza ISK</t>
        </is>
      </c>
    </row>
    <row r="13">
      <c r="A13" t="inlineStr">
        <is>
          <t>2026-07-29</t>
        </is>
      </c>
      <c r="B13" t="inlineStr">
        <is>
          <t>Tundra Sustainable Frontier Fund A SEK</t>
        </is>
      </c>
      <c r="C13" t="inlineStr">
        <is>
          <t>avanza-isk</t>
        </is>
      </c>
      <c r="D13" t="inlineStr">
        <is>
          <t>SELL</t>
        </is>
      </c>
      <c r="G13" t="inlineStr">
        <is>
          <t>SEK</t>
        </is>
      </c>
      <c r="H13" t="n">
        <v>1534.86</v>
      </c>
      <c r="I13" t="n">
        <v>0</v>
      </c>
      <c r="J13" t="inlineStr">
        <is>
          <t>yes</t>
        </is>
      </c>
      <c r="K13" t="inlineStr">
        <is>
          <t>Sold in full — 2.6%/yr fee unjustifiable. Tax-free inside ISK. Cost basis 1,000 SEK.</t>
        </is>
      </c>
    </row>
    <row r="14">
      <c r="A14" t="inlineStr">
        <is>
          <t>2026-07-29</t>
        </is>
      </c>
      <c r="B14" t="inlineStr">
        <is>
          <t>Avanza Global (fund)</t>
        </is>
      </c>
      <c r="C14" t="inlineStr">
        <is>
          <t>avanza-isk</t>
        </is>
      </c>
      <c r="D14" t="inlineStr">
        <is>
          <t>BUY</t>
        </is>
      </c>
      <c r="G14" t="inlineStr">
        <is>
          <t>SEK</t>
        </is>
      </c>
      <c r="H14" t="n">
        <v>119999</v>
      </c>
      <c r="J14" t="inlineStr">
        <is>
          <t>yes</t>
        </is>
      </c>
      <c r="K14" t="inlineStr">
        <is>
          <t>Secure-tier core purchase; ~59,050 SEK of this earmarked medium-pending for gradual migration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date_added</t>
        </is>
      </c>
      <c r="D1" s="7" t="inlineStr">
        <is>
          <t>source</t>
        </is>
      </c>
      <c r="E1" s="7" t="inlineStr">
        <is>
          <t>notes</t>
        </is>
      </c>
    </row>
    <row r="2">
      <c r="A2" t="inlineStr">
        <is>
          <t>SU.PA</t>
        </is>
      </c>
      <c r="B2" t="inlineStr">
        <is>
          <t>Schneider Electric</t>
        </is>
      </c>
      <c r="C2" t="inlineStr">
        <is>
          <t>2026-07-29</t>
        </is>
      </c>
      <c r="D2" t="inlineStr">
        <is>
          <t>claude</t>
        </is>
      </c>
      <c r="E2" t="inlineStr">
        <is>
          <t>risk_tag=med; policy_tailwind=Western grid-buildout and energy-transition spending; data-center power demand.</t>
        </is>
      </c>
    </row>
    <row r="3">
      <c r="A3" t="inlineStr">
        <is>
          <t>ASML.AS</t>
        </is>
      </c>
      <c r="B3" t="inlineStr">
        <is>
          <t>ASML Holding</t>
        </is>
      </c>
      <c r="C3" t="inlineStr">
        <is>
          <t>2026-07-29</t>
        </is>
      </c>
      <c r="D3" t="inlineStr">
        <is>
          <t>claude</t>
        </is>
      </c>
      <c r="E3" t="inlineStr">
        <is>
          <t>risk_tag=med; policy_tailwind=US CHIPS Act + EU Chips Act reshoring subsidies drive fab build-out.</t>
        </is>
      </c>
    </row>
    <row r="4">
      <c r="A4" t="inlineStr">
        <is>
          <t>IFX.DE</t>
        </is>
      </c>
      <c r="B4" t="inlineStr">
        <is>
          <t>Infineon Technologies</t>
        </is>
      </c>
      <c r="C4" t="inlineStr">
        <is>
          <t>2026-07-29</t>
        </is>
      </c>
      <c r="D4" t="inlineStr">
        <is>
          <t>claude</t>
        </is>
      </c>
      <c r="E4" t="inlineStr">
        <is>
          <t>risk_tag=high; policy_tailwind=EV adoption + electrification policy.</t>
        </is>
      </c>
    </row>
    <row r="5">
      <c r="A5" t="inlineStr">
        <is>
          <t>IBE.MC</t>
        </is>
      </c>
      <c r="B5" t="inlineStr">
        <is>
          <t>Iberdrola</t>
        </is>
      </c>
      <c r="C5" t="inlineStr">
        <is>
          <t>2026-07-29</t>
        </is>
      </c>
      <c r="D5" t="inlineStr">
        <is>
          <t>claude</t>
        </is>
      </c>
      <c r="E5" t="inlineStr">
        <is>
          <t>risk_tag=low; policy_tailwind=Renewable-energy subsidies and grid investment.</t>
        </is>
      </c>
    </row>
    <row r="6">
      <c r="A6" t="inlineStr">
        <is>
          <t>NOVO-B.CO</t>
        </is>
      </c>
      <c r="B6" t="inlineStr">
        <is>
          <t>Novo Nordisk</t>
        </is>
      </c>
      <c r="C6" t="inlineStr">
        <is>
          <t>2026-07-29</t>
        </is>
      </c>
      <c r="D6" t="inlineStr">
        <is>
          <t>claude</t>
        </is>
      </c>
      <c r="E6" t="inlineStr">
        <is>
          <t>risk_tag=high; policy_tailwind=Drug-pricing politics run AGAINST this one (US pricing pressure) — a headwind, flagged honestly.</t>
        </is>
      </c>
    </row>
    <row r="7">
      <c r="A7" t="inlineStr">
        <is>
          <t>TSM</t>
        </is>
      </c>
      <c r="B7" t="inlineStr">
        <is>
          <t>Taiwan Semiconductor (US ADR)</t>
        </is>
      </c>
      <c r="C7" t="inlineStr">
        <is>
          <t>2026-07-29</t>
        </is>
      </c>
      <c r="D7" t="inlineStr">
        <is>
          <t>claude</t>
        </is>
      </c>
      <c r="E7" t="inlineStr">
        <is>
          <t>risk_tag=high; policy_tailwind=Reshoring subsidies (CHIPS Act) fund its US fabs.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ticker</t>
        </is>
      </c>
      <c r="B1" s="7" t="inlineStr">
        <is>
          <t>category</t>
        </is>
      </c>
      <c r="C1" s="7" t="inlineStr">
        <is>
          <t>name</t>
        </is>
      </c>
      <c r="D1" s="7" t="inlineStr">
        <is>
          <t>currency</t>
        </is>
      </c>
      <c r="E1" s="7" t="inlineStr">
        <is>
          <t>date_added</t>
        </is>
      </c>
      <c r="F1" s="7" t="inlineStr">
        <is>
          <t>source</t>
        </is>
      </c>
    </row>
    <row r="2">
      <c r="A2" t="inlineStr">
        <is>
          <t>VWCE.DE</t>
        </is>
      </c>
      <c r="B2" t="inlineStr">
        <is>
          <t>broad_index_etfs</t>
        </is>
      </c>
    </row>
    <row r="3">
      <c r="A3" t="inlineStr">
        <is>
          <t>EUNL.DE</t>
        </is>
      </c>
      <c r="B3" t="inlineStr">
        <is>
          <t>broad_index_etfs</t>
        </is>
      </c>
    </row>
    <row r="4">
      <c r="A4" t="inlineStr">
        <is>
          <t>IS3N.DE</t>
        </is>
      </c>
      <c r="B4" t="inlineStr">
        <is>
          <t>broad_index_etfs</t>
        </is>
      </c>
    </row>
    <row r="5">
      <c r="A5" t="inlineStr">
        <is>
          <t>SPY</t>
        </is>
      </c>
      <c r="B5" t="inlineStr">
        <is>
          <t>broad_index_etfs</t>
        </is>
      </c>
    </row>
    <row r="6">
      <c r="A6" t="inlineStr">
        <is>
          <t>QQQ</t>
        </is>
      </c>
      <c r="B6" t="inlineStr">
        <is>
          <t>broad_index_etfs</t>
        </is>
      </c>
    </row>
    <row r="7">
      <c r="A7" t="inlineStr">
        <is>
          <t>BTC-USD</t>
        </is>
      </c>
      <c r="B7" t="inlineStr">
        <is>
          <t>crypto_usd_proxies</t>
        </is>
      </c>
    </row>
    <row r="8">
      <c r="A8" t="inlineStr">
        <is>
          <t>ETH-USD</t>
        </is>
      </c>
      <c r="B8" t="inlineStr">
        <is>
          <t>crypto_usd_proxies</t>
        </is>
      </c>
    </row>
    <row r="9">
      <c r="A9" t="inlineStr">
        <is>
          <t>ADYEN.AS</t>
        </is>
      </c>
      <c r="B9" t="inlineStr">
        <is>
          <t>europe_large_cap</t>
        </is>
      </c>
      <c r="D9" t="inlineStr">
        <is>
          <t>EUR</t>
        </is>
      </c>
      <c r="F9" t="inlineStr">
        <is>
          <t>manual_validated</t>
        </is>
      </c>
    </row>
    <row r="10">
      <c r="A10" t="inlineStr">
        <is>
          <t>AIR.PA</t>
        </is>
      </c>
      <c r="B10" t="inlineStr">
        <is>
          <t>europe_large_cap</t>
        </is>
      </c>
      <c r="D10" t="inlineStr">
        <is>
          <t>EUR</t>
        </is>
      </c>
      <c r="F10" t="inlineStr">
        <is>
          <t>manual_validated</t>
        </is>
      </c>
    </row>
    <row r="11">
      <c r="A11" t="inlineStr">
        <is>
          <t>ASM.AS</t>
        </is>
      </c>
      <c r="B11" t="inlineStr">
        <is>
          <t>europe_large_cap</t>
        </is>
      </c>
      <c r="D11" t="inlineStr">
        <is>
          <t>EUR</t>
        </is>
      </c>
      <c r="F11" t="inlineStr">
        <is>
          <t>manual_validated</t>
        </is>
      </c>
    </row>
    <row r="12">
      <c r="A12" t="inlineStr">
        <is>
          <t>ASML.AS</t>
        </is>
      </c>
      <c r="B12" t="inlineStr">
        <is>
          <t>europe_large_cap</t>
        </is>
      </c>
      <c r="D12" t="inlineStr">
        <is>
          <t>EUR</t>
        </is>
      </c>
      <c r="F12" t="inlineStr">
        <is>
          <t>claude_thesis</t>
        </is>
      </c>
    </row>
    <row r="13">
      <c r="A13" t="inlineStr">
        <is>
          <t>CAP.PA</t>
        </is>
      </c>
      <c r="B13" t="inlineStr">
        <is>
          <t>europe_large_cap</t>
        </is>
      </c>
      <c r="D13" t="inlineStr">
        <is>
          <t>EUR</t>
        </is>
      </c>
      <c r="F13" t="inlineStr">
        <is>
          <t>manual_validated</t>
        </is>
      </c>
    </row>
    <row r="14">
      <c r="A14" t="inlineStr">
        <is>
          <t>DSV.CO</t>
        </is>
      </c>
      <c r="B14" t="inlineStr">
        <is>
          <t>europe_large_cap</t>
        </is>
      </c>
      <c r="D14" t="inlineStr">
        <is>
          <t>DKK</t>
        </is>
      </c>
      <c r="F14" t="inlineStr">
        <is>
          <t>manual_validated</t>
        </is>
      </c>
    </row>
    <row r="15">
      <c r="A15" t="inlineStr">
        <is>
          <t>DSY.PA</t>
        </is>
      </c>
      <c r="B15" t="inlineStr">
        <is>
          <t>europe_large_cap</t>
        </is>
      </c>
      <c r="D15" t="inlineStr">
        <is>
          <t>EUR</t>
        </is>
      </c>
      <c r="F15" t="inlineStr">
        <is>
          <t>manual_validated</t>
        </is>
      </c>
    </row>
    <row r="16">
      <c r="A16" t="inlineStr">
        <is>
          <t>ENEL.MI</t>
        </is>
      </c>
      <c r="B16" t="inlineStr">
        <is>
          <t>europe_large_cap</t>
        </is>
      </c>
      <c r="D16" t="inlineStr">
        <is>
          <t>EUR</t>
        </is>
      </c>
      <c r="F16" t="inlineStr">
        <is>
          <t>manual_validated</t>
        </is>
      </c>
    </row>
    <row r="17">
      <c r="A17" t="inlineStr">
        <is>
          <t>IBE.MC</t>
        </is>
      </c>
      <c r="B17" t="inlineStr">
        <is>
          <t>europe_large_cap</t>
        </is>
      </c>
      <c r="D17" t="inlineStr">
        <is>
          <t>EUR</t>
        </is>
      </c>
      <c r="F17" t="inlineStr">
        <is>
          <t>claude_thesis</t>
        </is>
      </c>
    </row>
    <row r="18">
      <c r="A18" t="inlineStr">
        <is>
          <t>IFX.DE</t>
        </is>
      </c>
      <c r="B18" t="inlineStr">
        <is>
          <t>europe_large_cap</t>
        </is>
      </c>
      <c r="D18" t="inlineStr">
        <is>
          <t>EUR</t>
        </is>
      </c>
      <c r="F18" t="inlineStr">
        <is>
          <t>claude_thesis</t>
        </is>
      </c>
    </row>
    <row r="19">
      <c r="A19" t="inlineStr">
        <is>
          <t>ITX.MC</t>
        </is>
      </c>
      <c r="B19" t="inlineStr">
        <is>
          <t>europe_large_cap</t>
        </is>
      </c>
      <c r="D19" t="inlineStr">
        <is>
          <t>EUR</t>
        </is>
      </c>
      <c r="F19" t="inlineStr">
        <is>
          <t>manual_validated</t>
        </is>
      </c>
    </row>
    <row r="20">
      <c r="A20" t="inlineStr">
        <is>
          <t>MC.PA</t>
        </is>
      </c>
      <c r="B20" t="inlineStr">
        <is>
          <t>europe_large_cap</t>
        </is>
      </c>
      <c r="D20" t="inlineStr">
        <is>
          <t>EUR</t>
        </is>
      </c>
      <c r="F20" t="inlineStr">
        <is>
          <t>manual_validated</t>
        </is>
      </c>
    </row>
    <row r="21">
      <c r="A21" t="inlineStr">
        <is>
          <t>MRK.DE</t>
        </is>
      </c>
      <c r="B21" t="inlineStr">
        <is>
          <t>europe_large_cap</t>
        </is>
      </c>
      <c r="D21" t="inlineStr">
        <is>
          <t>EUR</t>
        </is>
      </c>
      <c r="F21" t="inlineStr">
        <is>
          <t>manual_validated</t>
        </is>
      </c>
    </row>
    <row r="22">
      <c r="A22" t="inlineStr">
        <is>
          <t>NESN.SW</t>
        </is>
      </c>
      <c r="B22" t="inlineStr">
        <is>
          <t>europe_large_cap</t>
        </is>
      </c>
      <c r="D22" t="inlineStr">
        <is>
          <t>CHF</t>
        </is>
      </c>
      <c r="F22" t="inlineStr">
        <is>
          <t>manual_validated</t>
        </is>
      </c>
    </row>
    <row r="23">
      <c r="A23" t="inlineStr">
        <is>
          <t>NOVN.SW</t>
        </is>
      </c>
      <c r="B23" t="inlineStr">
        <is>
          <t>europe_large_cap</t>
        </is>
      </c>
      <c r="D23" t="inlineStr">
        <is>
          <t>CHF</t>
        </is>
      </c>
      <c r="F23" t="inlineStr">
        <is>
          <t>manual_validated</t>
        </is>
      </c>
    </row>
    <row r="24">
      <c r="A24" t="inlineStr">
        <is>
          <t>NOVO-B.CO</t>
        </is>
      </c>
      <c r="B24" t="inlineStr">
        <is>
          <t>europe_large_cap</t>
        </is>
      </c>
      <c r="D24" t="inlineStr">
        <is>
          <t>DKK</t>
        </is>
      </c>
      <c r="F24" t="inlineStr">
        <is>
          <t>claude_thesis</t>
        </is>
      </c>
    </row>
    <row r="25">
      <c r="A25" t="inlineStr">
        <is>
          <t>OR.PA</t>
        </is>
      </c>
      <c r="B25" t="inlineStr">
        <is>
          <t>europe_large_cap</t>
        </is>
      </c>
      <c r="D25" t="inlineStr">
        <is>
          <t>EUR</t>
        </is>
      </c>
      <c r="F25" t="inlineStr">
        <is>
          <t>manual_validated</t>
        </is>
      </c>
    </row>
    <row r="26">
      <c r="A26" t="inlineStr">
        <is>
          <t>ORSTED.CO</t>
        </is>
      </c>
      <c r="B26" t="inlineStr">
        <is>
          <t>europe_large_cap</t>
        </is>
      </c>
      <c r="D26" t="inlineStr">
        <is>
          <t>DKK</t>
        </is>
      </c>
      <c r="F26" t="inlineStr">
        <is>
          <t>manual_validated</t>
        </is>
      </c>
    </row>
    <row r="27">
      <c r="A27" t="inlineStr">
        <is>
          <t>RACE.MI</t>
        </is>
      </c>
      <c r="B27" t="inlineStr">
        <is>
          <t>europe_large_cap</t>
        </is>
      </c>
      <c r="D27" t="inlineStr">
        <is>
          <t>EUR</t>
        </is>
      </c>
      <c r="F27" t="inlineStr">
        <is>
          <t>manual_validated</t>
        </is>
      </c>
    </row>
    <row r="28">
      <c r="A28" t="inlineStr">
        <is>
          <t>RMS.PA</t>
        </is>
      </c>
      <c r="B28" t="inlineStr">
        <is>
          <t>europe_large_cap</t>
        </is>
      </c>
      <c r="D28" t="inlineStr">
        <is>
          <t>EUR</t>
        </is>
      </c>
      <c r="F28" t="inlineStr">
        <is>
          <t>manual_validated</t>
        </is>
      </c>
    </row>
    <row r="29">
      <c r="A29" t="inlineStr">
        <is>
          <t>RWE.DE</t>
        </is>
      </c>
      <c r="B29" t="inlineStr">
        <is>
          <t>europe_large_cap</t>
        </is>
      </c>
      <c r="D29" t="inlineStr">
        <is>
          <t>EUR</t>
        </is>
      </c>
      <c r="F29" t="inlineStr">
        <is>
          <t>manual_validated</t>
        </is>
      </c>
    </row>
    <row r="30">
      <c r="A30" t="inlineStr">
        <is>
          <t>SAN.PA</t>
        </is>
      </c>
      <c r="B30" t="inlineStr">
        <is>
          <t>europe_large_cap</t>
        </is>
      </c>
      <c r="D30" t="inlineStr">
        <is>
          <t>EUR</t>
        </is>
      </c>
      <c r="F30" t="inlineStr">
        <is>
          <t>manual_validated</t>
        </is>
      </c>
    </row>
    <row r="31">
      <c r="A31" t="inlineStr">
        <is>
          <t>SAP.DE</t>
        </is>
      </c>
      <c r="B31" t="inlineStr">
        <is>
          <t>europe_large_cap</t>
        </is>
      </c>
      <c r="D31" t="inlineStr">
        <is>
          <t>EUR</t>
        </is>
      </c>
      <c r="F31" t="inlineStr">
        <is>
          <t>manual_validated</t>
        </is>
      </c>
    </row>
    <row r="32">
      <c r="A32" t="inlineStr">
        <is>
          <t>SIE.DE</t>
        </is>
      </c>
      <c r="B32" t="inlineStr">
        <is>
          <t>europe_large_cap</t>
        </is>
      </c>
      <c r="D32" t="inlineStr">
        <is>
          <t>EUR</t>
        </is>
      </c>
      <c r="F32" t="inlineStr">
        <is>
          <t>manual_validated</t>
        </is>
      </c>
    </row>
    <row r="33">
      <c r="A33" t="inlineStr">
        <is>
          <t>SU.PA</t>
        </is>
      </c>
      <c r="B33" t="inlineStr">
        <is>
          <t>europe_large_cap</t>
        </is>
      </c>
      <c r="D33" t="inlineStr">
        <is>
          <t>EUR</t>
        </is>
      </c>
      <c r="F33" t="inlineStr">
        <is>
          <t>claude_thesis</t>
        </is>
      </c>
    </row>
    <row r="34">
      <c r="A34" t="inlineStr">
        <is>
          <t>VWS.CO</t>
        </is>
      </c>
      <c r="B34" t="inlineStr">
        <is>
          <t>europe_large_cap</t>
        </is>
      </c>
      <c r="D34" t="inlineStr">
        <is>
          <t>DKK</t>
        </is>
      </c>
      <c r="F34" t="inlineStr">
        <is>
          <t>manual_validated</t>
        </is>
      </c>
    </row>
    <row r="35">
      <c r="A35" t="inlineStr">
        <is>
          <t>WKL.AS</t>
        </is>
      </c>
      <c r="B35" t="inlineStr">
        <is>
          <t>europe_large_cap</t>
        </is>
      </c>
      <c r="D35" t="inlineStr">
        <is>
          <t>EUR</t>
        </is>
      </c>
      <c r="F35" t="inlineStr">
        <is>
          <t>manual_validated</t>
        </is>
      </c>
    </row>
    <row r="36">
      <c r="A36" t="inlineStr">
        <is>
          <t>INVE-B.ST</t>
        </is>
      </c>
      <c r="B36" t="inlineStr">
        <is>
          <t>nordic_large_cap</t>
        </is>
      </c>
    </row>
    <row r="37">
      <c r="A37" t="inlineStr">
        <is>
          <t>ATCO-A.ST</t>
        </is>
      </c>
      <c r="B37" t="inlineStr">
        <is>
          <t>nordic_large_cap</t>
        </is>
      </c>
    </row>
    <row r="38">
      <c r="A38" t="inlineStr">
        <is>
          <t>VOLV-B.ST</t>
        </is>
      </c>
      <c r="B38" t="inlineStr">
        <is>
          <t>nordic_large_cap</t>
        </is>
      </c>
    </row>
    <row r="39">
      <c r="A39" t="inlineStr">
        <is>
          <t>ERIC-B.ST</t>
        </is>
      </c>
      <c r="B39" t="inlineStr">
        <is>
          <t>nordic_large_cap</t>
        </is>
      </c>
    </row>
    <row r="40">
      <c r="A40" t="inlineStr">
        <is>
          <t>SEB-A.ST</t>
        </is>
      </c>
      <c r="B40" t="inlineStr">
        <is>
          <t>nordic_large_cap</t>
        </is>
      </c>
    </row>
    <row r="41">
      <c r="A41" t="inlineStr">
        <is>
          <t>EVO.ST</t>
        </is>
      </c>
      <c r="B41" t="inlineStr">
        <is>
          <t>nordic_large_cap</t>
        </is>
      </c>
    </row>
    <row r="42">
      <c r="A42" t="inlineStr">
        <is>
          <t>HM-B.ST</t>
        </is>
      </c>
      <c r="B42" t="inlineStr">
        <is>
          <t>nordic_large_cap</t>
        </is>
      </c>
    </row>
    <row r="43">
      <c r="A43" t="inlineStr">
        <is>
          <t>SAND.ST</t>
        </is>
      </c>
      <c r="B43" t="inlineStr">
        <is>
          <t>nordic_large_cap</t>
        </is>
      </c>
    </row>
    <row r="44">
      <c r="A44" t="inlineStr">
        <is>
          <t>ASSA-B.ST</t>
        </is>
      </c>
      <c r="B44" t="inlineStr">
        <is>
          <t>nordic_large_cap</t>
        </is>
      </c>
    </row>
    <row r="45">
      <c r="A45" t="inlineStr">
        <is>
          <t>NOVO-B.CO</t>
        </is>
      </c>
      <c r="B45" t="inlineStr">
        <is>
          <t>nordic_large_cap</t>
        </is>
      </c>
      <c r="D45" t="inlineStr">
        <is>
          <t>DKK</t>
        </is>
      </c>
      <c r="F45" t="inlineStr">
        <is>
          <t>claude_thesis</t>
        </is>
      </c>
    </row>
    <row r="46">
      <c r="A46" t="inlineStr">
        <is>
          <t>ASML</t>
        </is>
      </c>
      <c r="B46" t="inlineStr">
        <is>
          <t>semis_and_ai_infra</t>
        </is>
      </c>
    </row>
    <row r="47">
      <c r="A47" t="inlineStr">
        <is>
          <t>TSM</t>
        </is>
      </c>
      <c r="B47" t="inlineStr">
        <is>
          <t>semis_and_ai_infra</t>
        </is>
      </c>
      <c r="D47" t="inlineStr">
        <is>
          <t>USD</t>
        </is>
      </c>
      <c r="F47" t="inlineStr">
        <is>
          <t>claude_thesis</t>
        </is>
      </c>
    </row>
    <row r="48">
      <c r="A48" t="inlineStr">
        <is>
          <t>AVGO</t>
        </is>
      </c>
      <c r="B48" t="inlineStr">
        <is>
          <t>semis_and_ai_infra</t>
        </is>
      </c>
      <c r="C48" t="inlineStr">
        <is>
          <t>Broadcom</t>
        </is>
      </c>
      <c r="F48" t="inlineStr">
        <is>
          <t>sp500_github</t>
        </is>
      </c>
    </row>
    <row r="49">
      <c r="A49" t="inlineStr">
        <is>
          <t>AMD</t>
        </is>
      </c>
      <c r="B49" t="inlineStr">
        <is>
          <t>semis_and_ai_infra</t>
        </is>
      </c>
      <c r="C49" t="inlineStr">
        <is>
          <t>Advanced Micro Devices</t>
        </is>
      </c>
      <c r="F49" t="inlineStr">
        <is>
          <t>sp500_github</t>
        </is>
      </c>
    </row>
    <row r="50">
      <c r="A50" t="inlineStr">
        <is>
          <t>ASML.AS</t>
        </is>
      </c>
      <c r="B50" t="inlineStr">
        <is>
          <t>thesis_candidates</t>
        </is>
      </c>
      <c r="D50" t="inlineStr">
        <is>
          <t>EUR</t>
        </is>
      </c>
      <c r="F50" t="inlineStr">
        <is>
          <t>claude_thesis</t>
        </is>
      </c>
    </row>
    <row r="51">
      <c r="A51" t="inlineStr">
        <is>
          <t>IBE.MC</t>
        </is>
      </c>
      <c r="B51" t="inlineStr">
        <is>
          <t>thesis_candidates</t>
        </is>
      </c>
      <c r="D51" t="inlineStr">
        <is>
          <t>EUR</t>
        </is>
      </c>
      <c r="F51" t="inlineStr">
        <is>
          <t>claude_thesis</t>
        </is>
      </c>
    </row>
    <row r="52">
      <c r="A52" t="inlineStr">
        <is>
          <t>IFX.DE</t>
        </is>
      </c>
      <c r="B52" t="inlineStr">
        <is>
          <t>thesis_candidates</t>
        </is>
      </c>
      <c r="D52" t="inlineStr">
        <is>
          <t>EUR</t>
        </is>
      </c>
      <c r="F52" t="inlineStr">
        <is>
          <t>claude_thesis</t>
        </is>
      </c>
    </row>
    <row r="53">
      <c r="A53" t="inlineStr">
        <is>
          <t>NOVO-B.CO</t>
        </is>
      </c>
      <c r="B53" t="inlineStr">
        <is>
          <t>thesis_candidates</t>
        </is>
      </c>
      <c r="D53" t="inlineStr">
        <is>
          <t>DKK</t>
        </is>
      </c>
      <c r="F53" t="inlineStr">
        <is>
          <t>claude_thesis</t>
        </is>
      </c>
    </row>
    <row r="54">
      <c r="A54" t="inlineStr">
        <is>
          <t>SU.PA</t>
        </is>
      </c>
      <c r="B54" t="inlineStr">
        <is>
          <t>thesis_candidates</t>
        </is>
      </c>
      <c r="D54" t="inlineStr">
        <is>
          <t>EUR</t>
        </is>
      </c>
      <c r="F54" t="inlineStr">
        <is>
          <t>claude_thesis</t>
        </is>
      </c>
    </row>
    <row r="55">
      <c r="A55" t="inlineStr">
        <is>
          <t>TSM</t>
        </is>
      </c>
      <c r="B55" t="inlineStr">
        <is>
          <t>thesis_candidates</t>
        </is>
      </c>
      <c r="D55" t="inlineStr">
        <is>
          <t>USD</t>
        </is>
      </c>
      <c r="F55" t="inlineStr">
        <is>
          <t>claude_thesis</t>
        </is>
      </c>
    </row>
    <row r="56">
      <c r="A56" t="inlineStr">
        <is>
          <t>AAPL</t>
        </is>
      </c>
      <c r="B56" t="inlineStr">
        <is>
          <t>us_mega_cap</t>
        </is>
      </c>
      <c r="C56" t="inlineStr">
        <is>
          <t>Apple Inc.</t>
        </is>
      </c>
      <c r="F56" t="inlineStr">
        <is>
          <t>sp500_github</t>
        </is>
      </c>
    </row>
    <row r="57">
      <c r="A57" t="inlineStr">
        <is>
          <t>MSFT</t>
        </is>
      </c>
      <c r="B57" t="inlineStr">
        <is>
          <t>us_mega_cap</t>
        </is>
      </c>
      <c r="C57" t="inlineStr">
        <is>
          <t>Microsoft</t>
        </is>
      </c>
      <c r="F57" t="inlineStr">
        <is>
          <t>sp500_github</t>
        </is>
      </c>
    </row>
    <row r="58">
      <c r="A58" t="inlineStr">
        <is>
          <t>NVDA</t>
        </is>
      </c>
      <c r="B58" t="inlineStr">
        <is>
          <t>us_mega_cap</t>
        </is>
      </c>
      <c r="C58" t="inlineStr">
        <is>
          <t>Nvidia</t>
        </is>
      </c>
      <c r="F58" t="inlineStr">
        <is>
          <t>sp500_github</t>
        </is>
      </c>
    </row>
    <row r="59">
      <c r="A59" t="inlineStr">
        <is>
          <t>GOOGL</t>
        </is>
      </c>
      <c r="B59" t="inlineStr">
        <is>
          <t>us_mega_cap</t>
        </is>
      </c>
      <c r="C59" t="inlineStr">
        <is>
          <t>Alphabet Inc. (Class A)</t>
        </is>
      </c>
      <c r="F59" t="inlineStr">
        <is>
          <t>sp500_github</t>
        </is>
      </c>
    </row>
    <row r="60">
      <c r="A60" t="inlineStr">
        <is>
          <t>AMZN</t>
        </is>
      </c>
      <c r="B60" t="inlineStr">
        <is>
          <t>us_mega_cap</t>
        </is>
      </c>
      <c r="C60" t="inlineStr">
        <is>
          <t>Amazon</t>
        </is>
      </c>
      <c r="F60" t="inlineStr">
        <is>
          <t>sp500_github</t>
        </is>
      </c>
    </row>
    <row r="61">
      <c r="A61" t="inlineStr">
        <is>
          <t>META</t>
        </is>
      </c>
      <c r="B61" t="inlineStr">
        <is>
          <t>us_mega_cap</t>
        </is>
      </c>
      <c r="C61" t="inlineStr">
        <is>
          <t>Meta Platforms</t>
        </is>
      </c>
      <c r="F61" t="inlineStr">
        <is>
          <t>sp500_github</t>
        </is>
      </c>
    </row>
    <row r="62">
      <c r="A62" t="inlineStr">
        <is>
          <t>JNJ</t>
        </is>
      </c>
      <c r="B62" t="inlineStr">
        <is>
          <t>us_quality_dividend</t>
        </is>
      </c>
      <c r="C62" t="inlineStr">
        <is>
          <t>Johnson &amp; Johnson</t>
        </is>
      </c>
      <c r="F62" t="inlineStr">
        <is>
          <t>sp500_github</t>
        </is>
      </c>
    </row>
    <row r="63">
      <c r="A63" t="inlineStr">
        <is>
          <t>PG</t>
        </is>
      </c>
      <c r="B63" t="inlineStr">
        <is>
          <t>us_quality_dividend</t>
        </is>
      </c>
      <c r="C63" t="inlineStr">
        <is>
          <t>Procter &amp; Gamble</t>
        </is>
      </c>
      <c r="F63" t="inlineStr">
        <is>
          <t>sp500_github</t>
        </is>
      </c>
    </row>
    <row r="64">
      <c r="A64" t="inlineStr">
        <is>
          <t>KO</t>
        </is>
      </c>
      <c r="B64" t="inlineStr">
        <is>
          <t>us_quality_dividend</t>
        </is>
      </c>
      <c r="C64" t="inlineStr">
        <is>
          <t>Coca-Cola Company (The)</t>
        </is>
      </c>
      <c r="F64" t="inlineStr">
        <is>
          <t>sp500_github</t>
        </is>
      </c>
    </row>
    <row r="65">
      <c r="A65" t="inlineStr">
        <is>
          <t>PEP</t>
        </is>
      </c>
      <c r="B65" t="inlineStr">
        <is>
          <t>us_quality_dividend</t>
        </is>
      </c>
      <c r="C65" t="inlineStr">
        <is>
          <t>PepsiCo</t>
        </is>
      </c>
      <c r="F65" t="inlineStr">
        <is>
          <t>sp500_github</t>
        </is>
      </c>
    </row>
    <row r="66">
      <c r="A66" t="inlineStr">
        <is>
          <t>ABBV</t>
        </is>
      </c>
      <c r="B66" t="inlineStr">
        <is>
          <t>us_quality_dividend</t>
        </is>
      </c>
      <c r="C66" t="inlineStr">
        <is>
          <t>AbbVie</t>
        </is>
      </c>
      <c r="F66" t="inlineStr">
        <is>
          <t>sp500_github</t>
        </is>
      </c>
    </row>
    <row r="67">
      <c r="A67" t="inlineStr">
        <is>
          <t>HD</t>
        </is>
      </c>
      <c r="B67" t="inlineStr">
        <is>
          <t>us_quality_dividend</t>
        </is>
      </c>
      <c r="C67" t="inlineStr">
        <is>
          <t>Home Depot (The)</t>
        </is>
      </c>
      <c r="F67" t="inlineStr">
        <is>
          <t>sp500_github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>
      <c r="A1" s="7" t="inlineStr">
        <is>
          <t>ticker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risk_tag</t>
        </is>
      </c>
      <c r="E1" s="7" t="inlineStr">
        <is>
          <t>policy_tailwind</t>
        </is>
      </c>
      <c r="F1" s="7" t="inlineStr">
        <is>
          <t>thesis</t>
        </is>
      </c>
    </row>
    <row r="2">
      <c r="A2" t="inlineStr">
        <is>
          <t>SHB-A.ST</t>
        </is>
      </c>
      <c r="B2" t="inlineStr">
        <is>
          <t>2026-07-29</t>
        </is>
      </c>
      <c r="C2" t="inlineStr">
        <is>
          <t>see thesis text</t>
        </is>
      </c>
      <c r="F2" t="inlineStr">
        <is>
          <t>TBD - itemized 2026-07-13 from live Avanza snapshot, no stated reason for holding yet. Direktavkastning 5.58%, P/E 11.95. Next report 2026-07-15 (delarsrapport) - unrelated to the pending HB fondkonto exit (that was Handelsbanken funds, a different holding).</t>
        </is>
      </c>
    </row>
    <row r="3">
      <c r="A3" t="inlineStr">
        <is>
          <t>INVE-A.ST</t>
        </is>
      </c>
      <c r="B3" t="inlineStr">
        <is>
          <t>2026-07-29</t>
        </is>
      </c>
      <c r="C3" t="inlineStr">
        <is>
          <t>see thesis text</t>
        </is>
      </c>
      <c r="F3" t="inlineStr">
        <is>
          <t>TBD - itemized 2026-07-13 from live Avanza snapshot, no stated reason for holding yet. Direktavkastning 1.45%, P/E 6.22. Next report 2026-07-16 (delarsrapport).</t>
        </is>
      </c>
    </row>
    <row r="4">
      <c r="A4" t="inlineStr">
        <is>
          <t>Avanza Auto 3 (fund)</t>
        </is>
      </c>
      <c r="B4" t="inlineStr">
        <is>
          <t>2026-07-29</t>
        </is>
      </c>
      <c r="C4" t="inlineStr">
        <is>
          <t>see thesis text</t>
        </is>
      </c>
      <c r="F4" t="inlineStr">
        <is>
          <t>CONFIRMED from factsheet 2026-07-22: multi-asset fund, ~60% equity exposure (40-70% range) blended with bonds/alternatives, 0.39% total annual fee (0.35% management + ~0.04% transaction), recommended holding period 4 years. Low-cost diversified core holding - fits the 'secure' risk tier well (see investor_profile.json). Up +67.10% since purchase (as of 2026-07-13, stale).</t>
        </is>
      </c>
    </row>
    <row r="5">
      <c r="A5" t="inlineStr">
        <is>
          <t>Tundra Sustainable Frontier Fund A SEK</t>
        </is>
      </c>
      <c r="B5" t="inlineStr">
        <is>
          <t>2026-07-29</t>
        </is>
      </c>
      <c r="C5" t="inlineStr">
        <is>
          <t>see thesis text</t>
        </is>
      </c>
      <c r="F5" t="inlineStr">
        <is>
          <t>SOLD 2026-07-29 (user-confirmed EXECUTED, exact trade date not specified - sits within the 2026-07-22 to 2026-07-29 window): sale settled for 1,534.86 SEK proceeds (vs. the 1,563 SEK stale 2026-07-13 estimate used for planning - real settlement came in ~28 SEK lower). Tax-free inside the ISK (only broker fees applied). Reason: 2.6% total annual fee (6.7x Avanza Auto 3's 0.39%) was unjustifiable fee drag - lever #2. Proceeds folded into the avanza-isk cash holding, which then funded part of the Avanza Global purchase (see that holding). Was open question 14, now fully resolved and executed. History: CONFIRMED from factsheet 2026-07-22 as an actively managed frontier/EM equity fund, &gt;=80% frontier/EM, ESG exclusions, recommended holding period 5 years; cost basis 1,000 SEK, so realized gain ~534.86 SEK, tax-free.</t>
        </is>
      </c>
    </row>
    <row r="6">
      <c r="A6" t="inlineStr">
        <is>
          <t>COIN-XBT.ST</t>
        </is>
      </c>
      <c r="B6" t="inlineStr">
        <is>
          <t>2026-07-29</t>
        </is>
      </c>
      <c r="C6" t="inlineStr">
        <is>
          <t>see thesis text</t>
        </is>
      </c>
      <c r="F6" t="inlineStr">
        <is>
          <t>SEE ALSO open question 19 (2026-07-31): a candidate fee-drag switch to Valour Bitcoin Zero SEK (0% mgmt fee vs this certificate's 2.5-3.64%) is under evaluation - would preserve full BTC exposure (compatible with the hold decision below), not yet executed, spread/liquidity unverified. HOLD / SOFT-CAP DECISION 2026-07-22 (user-directed, REVERSES the earlier same-day trim): user will NOT sell any bitcoin for now. Total crypto (ETH 12,500 + COIN 16,503.12 = 29,003) stays at ~14.2% of the 203,754 SEK investable base, ABOVE the 10% high-risk-tier cap - user explicitly accepts the cap being breached for now ('if that means raising the crypto/high risk bar, then so be it for now'). Rationale: the active bullish BTC thesis (cycle position, mid-2028 halving) outweighs mechanical cap discipline at this time. SOFT-CAP mechanism instead of a sale: route this deployment and future monthly contributions to the secure/medium tiers so crypto DILUTES back toward 10% over time; revisit an actual trim only if crypto appreciates materially further (e.g. past ~15-16%). No tax event (nothing sold). Certificate-vs-self-custody (open Q13) remains SEPARATE; 'for now' answer is to KEEP the retained BTC in the ISK certificate - tax shelter beats the 2.5% fee at this size/horizon, and the user already holds direct/self-custody crypto via the ETH wallet. --- Original thesis (still held), user's own words: crypto is 'pretty low valued right now,' mid-2028 Bitcoin halving ahead, and there are 'positive buy-in signals now' - this is a cycle-position thesis for BTC exposure generally, not specific to the certificate structure. Separately, user has stated a structural preference for 'real bitcoin instead of certificates' going forward - see open_structural_questions for the certificate-vs-self-custody decision, not yet resolved. Factsheet CONFIRMED 2026-07-22: 2.5% annual management fee, tracks BTC ~1:1 before fees, no capital protection, high volatility/USD currency risk. Early redemption directly with the issuer incurs a 2% exit fee - does NOT apply to an ordinary exchange sale (broker fees apply instead). Live price CONFIRMED 2026-07-22 (user-reported from Avanza): market value 16,503.12 SEK (2,750.52/unit), up 36.39% (+4,403.12 SEK) since purchase (12,100 SEK cost basis for 6 units, consistent with the recorded 2,016.67/unit cost basis). Combined with the ETH wallet (12,500 SEK), total crypto exposure is now ~29,003.12 SEK - above both the 5% glidepath target and the 10% risk-tier cap; sizing decision pending, see open_structural_questions.</t>
        </is>
      </c>
    </row>
    <row r="7">
      <c r="A7" t="inlineStr">
        <is>
          <t>Avanza Global (fund)</t>
        </is>
      </c>
      <c r="B7" t="inlineStr">
        <is>
          <t>2026-07-29</t>
        </is>
      </c>
      <c r="C7" t="inlineStr">
        <is>
          <t>see thesis text</t>
        </is>
      </c>
      <c r="F7" t="inlineStr">
        <is>
          <t>SETTLED 2026-07-29 (user-confirmed EXECUTED - this was previously recommended as the secure-tier deployment core but had NOT been logged as bought; user flagged the logging gap 2026-07-29). Global equity index fund, ~0.1% fee, the secure-tier core per the 60/30/10 risk-tier framework (investor_profile.json). Of this 119,999 SEK, ~59,050 SEK is earmarked 'medium-pending' per open question 16 - intended for gradual tax-free migration into individual quality stocks (Visa, Schneider, and a Swedish pick are the first migrations being evaluated 2026-07-29), NOT a permanent secure-tier allocation. Concentration note (flagged 2026-07-22, still applies): a global index fund alone is ~70% US mega-cap-tech weighted - paired with a distinct diversifier sleeve per the original deployment plan when remaining cash allows. Ticker/ISIN not yet recorded - TBD.</t>
        </is>
      </c>
    </row>
    <row r="8">
      <c r="A8" t="inlineStr">
        <is>
          <t>Swedbank fund</t>
        </is>
      </c>
      <c r="B8" t="inlineStr">
        <is>
          <t>2026-07-29</t>
        </is>
      </c>
      <c r="C8" t="inlineStr">
        <is>
          <t>see thesis text</t>
        </is>
      </c>
      <c r="F8" t="inlineStr">
        <is>
          <t>Legacy childhood savings - no active thesis. Decision needed: keep, or realize small gain and move into ISK.</t>
        </is>
      </c>
    </row>
    <row r="9">
      <c r="A9" t="inlineStr">
        <is>
          <t>ethereum</t>
        </is>
      </c>
      <c r="B9" t="inlineStr">
        <is>
          <t>2026-07-29</t>
        </is>
      </c>
      <c r="C9" t="inlineStr">
        <is>
          <t>see thesis text</t>
        </is>
      </c>
      <c r="F9" t="inlineStr">
        <is>
          <t>TBD</t>
        </is>
      </c>
    </row>
    <row r="10">
      <c r="A10" t="inlineStr">
        <is>
          <t>SU.PA</t>
        </is>
      </c>
      <c r="B10" t="inlineStr">
        <is>
          <t>2026-07-29</t>
        </is>
      </c>
      <c r="C10" t="inlineStr">
        <is>
          <t>candidate — not held</t>
        </is>
      </c>
      <c r="D10" t="inlineStr">
        <is>
          <t>med</t>
        </is>
      </c>
      <c r="E10" t="inlineStr">
        <is>
          <t>Western grid-buildout and energy-transition spending; data-center power demand.</t>
        </is>
      </c>
      <c r="F10" t="inlineStr">
        <is>
          <t>Electrification + data-center power demand (the 'shovel' of the AI build-out) + energy-efficiency, all policy-funded. Quality compounder with pricing power; genuinely sustainability-aligned (its product IS efficiency, not a bolt-on label). Fits the user's Europe + sustainability + growth preference. Highest-conviction of this set.</t>
        </is>
      </c>
    </row>
    <row r="11">
      <c r="A11" t="inlineStr">
        <is>
          <t>ASML.AS</t>
        </is>
      </c>
      <c r="B11" t="inlineStr">
        <is>
          <t>2026-07-29</t>
        </is>
      </c>
      <c r="C11" t="inlineStr">
        <is>
          <t>candidate — not held</t>
        </is>
      </c>
      <c r="D11" t="inlineStr">
        <is>
          <t>med</t>
        </is>
      </c>
      <c r="E11" t="inlineStr">
        <is>
          <t>US CHIPS Act + EU Chips Act reshoring subsidies drive fab build-out.</t>
        </is>
      </c>
      <c r="F11" t="inlineStr">
        <is>
          <t>Effective monopoly on EUV lithography — no advanced chip exists without its machines. Wide moat, high margins, secular semiconductor demand.</t>
        </is>
      </c>
    </row>
    <row r="12">
      <c r="A12" t="inlineStr">
        <is>
          <t>IFX.DE</t>
        </is>
      </c>
      <c r="B12" t="inlineStr">
        <is>
          <t>2026-07-29</t>
        </is>
      </c>
      <c r="C12" t="inlineStr">
        <is>
          <t>candidate — not held</t>
        </is>
      </c>
      <c r="D12" t="inlineStr">
        <is>
          <t>high</t>
        </is>
      </c>
      <c r="E12" t="inlineStr">
        <is>
          <t>EV adoption + electrification policy.</t>
        </is>
      </c>
      <c r="F12" t="inlineStr">
        <is>
          <t>European power-semiconductor leader levered to EV and industrial electrification — sustainability-adjacent growth.</t>
        </is>
      </c>
    </row>
    <row r="13">
      <c r="A13" t="inlineStr">
        <is>
          <t>IBE.MC</t>
        </is>
      </c>
      <c r="B13" t="inlineStr">
        <is>
          <t>2026-07-29</t>
        </is>
      </c>
      <c r="C13" t="inlineStr">
        <is>
          <t>candidate — not held</t>
        </is>
      </c>
      <c r="D13" t="inlineStr">
        <is>
          <t>low</t>
        </is>
      </c>
      <c r="E13" t="inlineStr">
        <is>
          <t>Renewable-energy subsidies and grid investment.</t>
        </is>
      </c>
      <c r="F13" t="inlineStr">
        <is>
          <t>Renewables-heavy regulated utility — a real sustainability holding and a steadier ballast within the medium tier.</t>
        </is>
      </c>
    </row>
    <row r="14">
      <c r="A14" t="inlineStr">
        <is>
          <t>NOVO-B.CO</t>
        </is>
      </c>
      <c r="B14" t="inlineStr">
        <is>
          <t>2026-07-29</t>
        </is>
      </c>
      <c r="C14" t="inlineStr">
        <is>
          <t>candidate — not held</t>
        </is>
      </c>
      <c r="D14" t="inlineStr">
        <is>
          <t>high</t>
        </is>
      </c>
      <c r="E14" t="inlineStr">
        <is>
          <t>Drug-pricing politics run AGAINST this one (US pricing pressure) — a headwind, flagged honestly.</t>
        </is>
      </c>
      <c r="F14" t="inlineStr">
        <is>
          <t>GLP-1 (obesity/diabetes) structural demand; dominant franchise, high margins.</t>
        </is>
      </c>
    </row>
    <row r="15">
      <c r="A15" t="inlineStr">
        <is>
          <t>TSM</t>
        </is>
      </c>
      <c r="B15" t="inlineStr">
        <is>
          <t>2026-07-29</t>
        </is>
      </c>
      <c r="C15" t="inlineStr">
        <is>
          <t>candidate — not held</t>
        </is>
      </c>
      <c r="D15" t="inlineStr">
        <is>
          <t>high</t>
        </is>
      </c>
      <c r="E15" t="inlineStr">
        <is>
          <t>Reshoring subsidies (CHIPS Act) fund its US fabs.</t>
        </is>
      </c>
      <c r="F15" t="inlineStr">
        <is>
          <t>The foundry essentially all advanced chips depend on; scale and process-node lead form a deep moat.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ticker</t>
        </is>
      </c>
      <c r="B1" s="7" t="inlineStr">
        <is>
          <t>name</t>
        </is>
      </c>
      <c r="C1" s="7" t="inlineStr">
        <is>
          <t>account_id</t>
        </is>
      </c>
      <c r="D1" s="7" t="inlineStr">
        <is>
          <t>committed_amount_sek</t>
        </is>
      </c>
      <c r="E1" s="7" t="inlineStr">
        <is>
          <t>committed_date</t>
        </is>
      </c>
      <c r="F1" s="7" t="inlineStr">
        <is>
          <t>status</t>
        </is>
      </c>
      <c r="G1" s="7" t="inlineStr">
        <is>
          <t>tier</t>
        </is>
      </c>
      <c r="H1" s="7" t="inlineStr">
        <is>
          <t>rationale</t>
        </is>
      </c>
    </row>
    <row r="2">
      <c r="A2" t="inlineStr">
        <is>
          <t>V</t>
        </is>
      </c>
      <c r="B2" t="inlineStr">
        <is>
          <t>Visa Inc.</t>
        </is>
      </c>
      <c r="C2" t="inlineStr">
        <is>
          <t>avanza-isk</t>
        </is>
      </c>
      <c r="D2" t="n">
        <v>7500</v>
      </c>
      <c r="E2" t="inlineStr">
        <is>
          <t>2026-07-29</t>
        </is>
      </c>
      <c r="F2" t="inlineStr">
        <is>
          <t>user-committed, execution not yet confirmed</t>
        </is>
      </c>
      <c r="G2" t="inlineStr">
        <is>
          <t>medium</t>
        </is>
      </c>
      <c r="H2" t="inlineStr">
        <is>
          <t>Data-confirmed quality anchor from the stacked funnel (rank_candidates.py): ~50% net margins, low realized risk (data_risk_score 25), payments-duopoly moat. CAUTION (root-caused and FIXED 2026-07-29, see IMPROVEMENTS #13): the ranker's PE of 8.7 was WRONG - SEC's share-count feed for Visa hadn't updated since 2010 (Visa moved to per-class reporting the free API can't aggregate), so a 16-year-stale count was silently used as current. Fixed with a staleness guard (fetch_fundamentals.py:_shares) that now correctly returns 'no data' for Visa's share count instead of a wrong number - PE/EPS are null post-fix, not a false 8.7. Real-world PE is in the 30-35 range (premium, not cheap) - buy the quality/moat thesis, not a mispriced 'cheap' signal.</t>
        </is>
      </c>
    </row>
    <row r="3">
      <c r="A3" t="inlineStr">
        <is>
          <t>SU.PA</t>
        </is>
      </c>
      <c r="B3" t="inlineStr">
        <is>
          <t>Schneider Electric</t>
        </is>
      </c>
      <c r="C3" t="inlineStr">
        <is>
          <t>avanza-isk</t>
        </is>
      </c>
      <c r="D3" t="n">
        <v>5000</v>
      </c>
      <c r="E3" t="inlineStr">
        <is>
          <t>2026-07-29</t>
        </is>
      </c>
      <c r="F3" t="inlineStr">
        <is>
          <t>user-committed, execution not yet confirmed</t>
        </is>
      </c>
      <c r="G3" t="inlineStr">
        <is>
          <t>medium</t>
        </is>
      </c>
      <c r="H3" t="inlineStr">
        <is>
          <t>Thesis-driven pick (data/thesis_candidates.json) - electrification, data-center power demand, energy-transition policy tailwinds; sustainability-aligned. Momentum-only on free data (no US-style fundamentals available for European filers), so this is a thesis position sized deliberately small given it isn't fundamentally confirmed.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7" t="inlineStr">
        <is>
          <t>key</t>
        </is>
      </c>
      <c r="B1" s="7" t="inlineStr">
        <is>
          <t>value</t>
        </is>
      </c>
      <c r="C1" s="7" t="inlineStr">
        <is>
          <t>notes</t>
        </is>
      </c>
    </row>
    <row r="2">
      <c r="A2" t="inlineStr">
        <is>
          <t>base_currency</t>
        </is>
      </c>
      <c r="B2" t="inlineStr">
        <is>
          <t>SEK</t>
        </is>
      </c>
    </row>
    <row r="3">
      <c r="A3" t="inlineStr">
        <is>
          <t>max_drawdown_tolerance_pct</t>
        </is>
      </c>
      <c r="B3" t="n">
        <v>-30</v>
      </c>
      <c r="C3" t="inlineStr">
        <is>
          <t>Stated tolerance -30% (~57k SEK at current size). REVISED 2026-07-07: the goal is softer than previously recorded (see horizon) — not a hard deadline. That eases the original glidepath tension (a -30%</t>
        </is>
      </c>
    </row>
    <row r="4">
      <c r="A4" t="inlineStr">
        <is>
          <t>primary_goal</t>
        </is>
      </c>
      <c r="B4" t="inlineStr">
        <is>
          <t>Property purchase, nature UNCERTAIN (user statement 2026-07-07): 'not completely sure what I am saving for' — most likely an apartment or similar. One live idea: a Mediterranean vacation apartment, re</t>
        </is>
      </c>
    </row>
    <row r="5">
      <c r="A5" t="inlineStr">
        <is>
          <t>years_until_needed</t>
        </is>
      </c>
      <c r="B5" t="inlineStr">
        <is>
          <t>3-7 (SOFT — goal not committed; treat as flexible, not a hard deadline)</t>
        </is>
      </c>
      <c r="C5" t="inlineStr">
        <is>
          <t>soft, not a hard deadline</t>
        </is>
      </c>
    </row>
    <row r="6">
      <c r="A6" t="inlineStr">
        <is>
          <t>planned_monthly_contribution_sek</t>
        </is>
      </c>
      <c r="B6" t="inlineStr">
        <is>
          <t>1000-3000</t>
        </is>
      </c>
      <c r="C6" t="inlineStr">
        <is>
          <t>range, exact amount TBD</t>
        </is>
      </c>
    </row>
    <row r="7">
      <c r="A7" t="inlineStr">
        <is>
          <t>emergency_fund_months</t>
        </is>
      </c>
      <c r="B7" t="inlineStr">
        <is>
          <t>3-6</t>
        </is>
      </c>
      <c r="C7" t="inlineStr">
        <is>
          <t>Standard buffer confirmed 2026-07-04 — the portfolio's risk budget is genuine, not partly an emergency fund.</t>
        </is>
      </c>
    </row>
    <row r="8">
      <c r="A8" t="inlineStr">
        <is>
          <t>tier_secure_pct</t>
        </is>
      </c>
      <c r="B8" t="n">
        <v>60</v>
      </c>
      <c r="C8" t="inlineStr">
        <is>
          <t>broad index funds</t>
        </is>
      </c>
    </row>
    <row r="9">
      <c r="A9" t="inlineStr">
        <is>
          <t>tier_medium_pct</t>
        </is>
      </c>
      <c r="B9" t="n">
        <v>30</v>
      </c>
      <c r="C9" t="inlineStr">
        <is>
          <t>individual quality stocks</t>
        </is>
      </c>
    </row>
    <row r="10">
      <c r="A10" t="inlineStr">
        <is>
          <t>tier_high_pct</t>
        </is>
      </c>
      <c r="B10" t="n">
        <v>10</v>
      </c>
      <c r="C10" t="inlineStr">
        <is>
          <t>crypto, actively managed</t>
        </is>
      </c>
    </row>
    <row r="11">
      <c r="A11" t="inlineStr">
        <is>
          <t>contribution_routing_default</t>
        </is>
      </c>
      <c r="B11" t="inlineStr">
        <is>
          <t>100% of each monthly contribution to the SECURE tier (broad global index core, e.g. Avanza Global) by default - matches the user's own stated preference ('100% to secure by default') and does triple d</t>
        </is>
      </c>
    </row>
    <row r="12">
      <c r="A12" t="inlineStr">
        <is>
          <t>max_single_position_pct</t>
        </is>
      </c>
      <c r="B12" t="n">
        <v>15</v>
      </c>
    </row>
    <row r="13">
      <c r="A13" t="inlineStr">
        <is>
          <t>max_single_institution_pct</t>
        </is>
      </c>
      <c r="B13" t="n">
        <v>80</v>
      </c>
    </row>
    <row r="14">
      <c r="A14" t="inlineStr">
        <is>
          <t>max_annual_fee_drag_pct</t>
        </is>
      </c>
      <c r="B14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7" t="inlineStr">
        <is>
          <t>id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text</t>
        </is>
      </c>
      <c r="E1" s="7" t="inlineStr">
        <is>
          <t>resolved_date</t>
        </is>
      </c>
      <c r="F1" s="7" t="inlineStr">
        <is>
          <t>resolution</t>
        </is>
      </c>
    </row>
    <row r="2">
      <c r="A2" t="inlineStr">
        <is>
          <t>1</t>
        </is>
      </c>
      <c r="B2" t="inlineStr">
        <is>
          <t>2026-07-29</t>
        </is>
      </c>
      <c r="C2" t="inlineStr">
        <is>
          <t>open</t>
        </is>
      </c>
      <c r="D2" t="inlineStr">
        <is>
          <t>Actual equity/bond split inside Auto 50 / Auto 75 (name-implied ~50/50 and ~75/25; confirm from factsheets - matters for exposure math until the exit executes).</t>
        </is>
      </c>
    </row>
    <row r="3">
      <c r="A3" t="inlineStr">
        <is>
          <t>2</t>
        </is>
      </c>
      <c r="B3" t="inlineStr">
        <is>
          <t>2026-07-29</t>
        </is>
      </c>
      <c r="C3" t="inlineStr">
        <is>
          <t>open</t>
        </is>
      </c>
      <c r="D3" t="inlineStr">
        <is>
          <t>ETH cost basis and acquisition dates (needed for any future K4 math).</t>
        </is>
      </c>
    </row>
    <row r="4">
      <c r="A4" t="inlineStr">
        <is>
          <t>3</t>
        </is>
      </c>
      <c r="B4" t="inlineStr">
        <is>
          <t>2026-07-29</t>
        </is>
      </c>
      <c r="C4" t="inlineStr">
        <is>
          <t>open</t>
        </is>
      </c>
      <c r="D4" t="inlineStr">
        <is>
          <t>Swedbank fund: current gain vs cost basis (feeds move-to-ISK calculation).</t>
        </is>
      </c>
    </row>
    <row r="5">
      <c r="A5" t="inlineStr">
        <is>
          <t>5</t>
        </is>
      </c>
      <c r="B5" t="inlineStr">
        <is>
          <t>2026-07-29</t>
        </is>
      </c>
      <c r="C5" t="inlineStr">
        <is>
          <t>open</t>
        </is>
      </c>
      <c r="D5" t="inlineStr">
        <is>
          <t>Any OTHER undisclosed accounts? SEB and PayPal both surfaced only in passing - a one-time full inventory (every bank/broker login) would close this class of surprise, and is now overdue (2 surprise accounts in one week).</t>
        </is>
      </c>
    </row>
    <row r="6">
      <c r="A6" t="inlineStr">
        <is>
          <t>6</t>
        </is>
      </c>
      <c r="B6" t="inlineStr">
        <is>
          <t>2026-07-29</t>
        </is>
      </c>
      <c r="C6" t="inlineStr">
        <is>
          <t>open</t>
        </is>
      </c>
      <c r="D6" t="inlineStr">
        <is>
          <t>PayPal FX routing: what is PayPal's actual conversion fee/spread (do not assume ~3-4%, confirm from PayPal's fee schedule), and what is the cheapest path to get the 1,177.49 USD + 266.88 EUR (plus each ~750-1000 EUR recurring inflow) into SEK or into a wrapper without repeatedly paying it. Council ruling 2026-07-12: convert promptly via lowest-spread path, don't hold either currency waiting on FX levels - see reports/2026-07-07-council-memo.md Amendment 2026-07-12.</t>
        </is>
      </c>
    </row>
    <row r="7">
      <c r="A7" t="inlineStr">
        <is>
          <t>9</t>
        </is>
      </c>
      <c r="B7" t="inlineStr">
        <is>
          <t>2026-07-29</t>
        </is>
      </c>
      <c r="C7" t="inlineStr">
        <is>
          <t>open</t>
        </is>
      </c>
      <c r="D7" t="inlineStr">
        <is>
          <t>No thesis recorded for Handelsbanken A, Investor A - both still TBD. Avanza Auto 3 and COIN-XBT.ST now have context/thesis (see their holdings entries); Tundra's status is tied to open question 14.</t>
        </is>
      </c>
    </row>
    <row r="8">
      <c r="A8" t="inlineStr">
        <is>
          <t>10</t>
        </is>
      </c>
      <c r="B8" t="inlineStr">
        <is>
          <t>2026-07-29</t>
        </is>
      </c>
      <c r="C8" t="inlineStr">
        <is>
          <t>open</t>
        </is>
      </c>
      <c r="D8" t="inlineStr">
        <is>
          <t>hb-main + hb-checking tax reserve (9,017 + 611 + 1,750 pending = 11,378 SEK) has a residual ~115.28 SEK gap against the confirmed 11,493.28 SEK HB+SEB tax owed - user judged this 'enough for now' 2026-07-22, plans to top up further from other income before the 2027 deklaration. Low priority, monitor at deklaration prep, not urgent.</t>
        </is>
      </c>
    </row>
    <row r="9">
      <c r="A9" t="inlineStr">
        <is>
          <t>11</t>
        </is>
      </c>
      <c r="B9" t="inlineStr">
        <is>
          <t>2026-07-29</t>
        </is>
      </c>
      <c r="C9" t="inlineStr">
        <is>
          <t>open</t>
        </is>
      </c>
      <c r="D9" t="inlineStr">
        <is>
          <t>hb-checking (611 SEK, newly disclosed 2026-07-22) and the broader account-inventory question (#5) - is this genuinely the last undisclosed account, or should a one-time full inventory still happen?</t>
        </is>
      </c>
    </row>
    <row r="10">
      <c r="A10" t="inlineStr">
        <is>
          <t>12</t>
        </is>
      </c>
      <c r="B10" t="inlineStr">
        <is>
          <t>2026-07-29</t>
        </is>
      </c>
      <c r="C10" t="inlineStr">
        <is>
          <t>open</t>
        </is>
      </c>
      <c r="D10" t="inlineStr">
        <is>
          <t>avanza-isk's non-cash holdings re-itemization - PARTIALLY RESOLVED 2026-07-31: SHB-A.ST and INVE-A.ST now fetch real, fresh prices again (fetch_equities() fixed, see IMPROVEMENTS #17) - price 146.15 / 406.40 SEK respectively as of 2026-07-31, still no fundamentals (no free source for non-US names). Avanza Auto 3 and the two unlisted funds (Avanza Global, Swedbank fund) will NEVER get exchange-fetched prices - see their no_ticker_reason fields, this is structural not pending. COIN-XBT.ST remains unresolved (ticker doesn't match Yahoo under any tried variant) - see open question 13/19 below, may be moot if the Valour Bitcoin Zero switch happens.</t>
        </is>
      </c>
    </row>
    <row r="11">
      <c r="A11" t="inlineStr">
        <is>
          <t>13</t>
        </is>
      </c>
      <c r="B11" t="inlineStr">
        <is>
          <t>2026-07-29</t>
        </is>
      </c>
      <c r="C11" t="inlineStr">
        <is>
          <t>open</t>
        </is>
      </c>
      <c r="D11" t="inlineStr">
        <is>
          <t>COIN-XBT.ST certificate vs. self-custody 'real bitcoin' - user stated 2026-07-22 a preference to eventually hold direct BTC instead of the certificate. Tax mechanics not simple: selling the certificate inside the ISK is tax-free, but moving proceeds to self-custody BTC permanently exits ISK's tax shelter for that capital and every future disposal becomes a 30% K4 event (same regime as the ETH wallet). Also loses the certificate's 2% issuer-redemption-fee risk (moot if sold via exchange) but gains self-custody key-management risk. Not yet decided - Council recommendation given in the 2026-07-22 chat exchange, pending user confirmation. NOTE 2026-07-31: this is a SEPARATE question from #19 (certificate-vs-certificate fee switch) - resolving #19 does not resolve this one, and vice versa.</t>
        </is>
      </c>
    </row>
    <row r="12">
      <c r="A12" t="inlineStr">
        <is>
          <t>16</t>
        </is>
      </c>
      <c r="B12" t="inlineStr">
        <is>
          <t>2026-07-29</t>
        </is>
      </c>
      <c r="C12" t="inlineStr">
        <is>
          <t>open</t>
        </is>
      </c>
      <c r="D12" t="inlineStr">
        <is>
          <t>MEDIUM-TIER MIGRATION (in progress, phase-in adopted 2026-07-22): the intended ~59,050 SEK medium-tier allocation (30% of the investable base, less the ~2,076 already in SHB-A/INVE-A) is parked inside the Avanza Global holding (settled 2026-07-29, 119,999 SEK) as a 'medium-pending' earmark, to be migrated into individual quality stocks ONE vetted position at a time (tax-free inside ISK). FIRST MIGRATIONS IN FLIGHT 2026-07-29: Visa 7,500 SEK + Schneider Electric 5,000 SEK, both stacked-funnel-vetted (see pending_executions) - together ~12,500 of the ~59,050 target, pending execution confirmation. A Swedish pick (Atlas Copco, ATCO-A.ST, top-ranked on momentum among Nordic large caps) was also identified 2026-07-29 as a candidate but no amount has been committed yet. Roughly one 5-10k position per sweep, holding risk level roughly constant per the medium-tier definition. NOT a fixed-percentage relaxation - the 30% target stands; only the timing is phased.</t>
        </is>
      </c>
    </row>
    <row r="13">
      <c r="A13" t="inlineStr">
        <is>
          <t>19</t>
        </is>
      </c>
      <c r="B13" t="inlineStr">
        <is>
          <t>2026-07-29</t>
        </is>
      </c>
      <c r="C13" t="inlineStr">
        <is>
          <t>open</t>
        </is>
      </c>
      <c r="D13" t="inlineStr">
        <is>
          <t>NEW 2026-07-31 (user-sourced candidate): switch COIN-XBT.ST (CoinShares XBT Provider, 2.5% mgmt fee per 2026-07-22 factsheet - though a third-party aggregator cites 3.64% total expense ratio for the same product, discrepancy NOT yet resolved, re-check the live factsheet) for Valour Bitcoin Zero SEK (ISIN CH0585378661, 0% management fee, confirmed real via web search 2026-07-31 - see chat for sources). Same underlying BTC exposure preserved throughout - NOT a reduction in crypto allocation, fully compatible with the 2026-07-22 hold/soft-cap decision. Tax-free inside ISK either way (ordinary exchange sale + purchase, no capital-gains event). Verified: real product, trades on Nordic MTF (part of NGM), directly purchasable on Avanza (found the exact Avanza product page, id 1164452), physically backed via tier-1 custodians (Copper, Komainu) - comparable structure to CoinShares, though Valour is a newer/smaller issuer. NOT YET VERIFIED (must check before executing): (a) the live bid-ask spread on the Nordic MTF listing - a 'zero management fee' product can still cost money via a wider spread, this is the single biggest unverified variable; (b) minimum brokerage fee mentioned in Swedish sources as 19 SEK for this specific product - confirm on Avanza's actual order ticket; (c) exact Nasdaq/Avanza-internal ticker (have ISIN + Avanza product ID, not a Yahoo-compatible ticker - per this system's own rule, not guessing one). Not yet decided - see chat 2026-07-31 for full analysis. Would need a separate SELL COIN-XBT.ST + BUY Valour Bitcoin Zero SEK pair of trades if approved.</t>
        </is>
      </c>
    </row>
    <row r="14">
      <c r="A14" t="n">
        <v>13</v>
      </c>
      <c r="B14" t="inlineStr">
        <is>
          <t>2026-07-07</t>
        </is>
      </c>
      <c r="C14" t="inlineStr">
        <is>
          <t>resolved</t>
        </is>
      </c>
      <c r="D14" t="inlineStr">
        <is>
          <t>Handelsbanken wrapper is FONDKONTO (AF), confirmed by user. Was question 1 / the blocking question since 2026-07-03. Consequence: exit plan hb-af-exit.</t>
        </is>
      </c>
      <c r="E14" t="inlineStr">
        <is>
          <t>2026-07-07</t>
        </is>
      </c>
    </row>
    <row r="15">
      <c r="A15" t="n">
        <v>14</v>
      </c>
      <c r="B15" t="inlineStr">
        <is>
          <t>2026-07-07</t>
        </is>
      </c>
      <c r="C15" t="inlineStr">
        <is>
          <t>resolved</t>
        </is>
      </c>
      <c r="D15" t="inlineStr">
        <is>
          <t>Handelsbanken fund fees - Auto 50 Criteria 0.66%/yr total cost, Auto 75 Criteria 0.67%/yr total cost (user-confirmed).</t>
        </is>
      </c>
      <c r="E15" t="inlineStr">
        <is>
          <t>2026-07-07</t>
        </is>
      </c>
    </row>
    <row r="16">
      <c r="A16" t="n">
        <v>15</v>
      </c>
      <c r="B16" t="inlineStr">
        <is>
          <t>2026-07-12</t>
        </is>
      </c>
      <c r="C16" t="inlineStr">
        <is>
          <t>resolved</t>
        </is>
      </c>
      <c r="D16" t="inlineStr">
        <is>
          <t>HB fund sale EXECUTED - actual proceeds 133,657.41 SEK (gain 28,186.20, tax 8,455.86), plus 2,954.42 SEK pre-existing cash, total 136,611.83 SEK now sitting as cash in hb-main awaiting ISK transfer. See exit_plans.hb-af-exit.actual_execution.</t>
        </is>
      </c>
      <c r="E16" t="inlineStr">
        <is>
          <t>2026-07-12</t>
        </is>
      </c>
    </row>
    <row r="17">
      <c r="A17" t="n">
        <v>16</v>
      </c>
      <c r="B17" t="inlineStr">
        <is>
          <t>2026-07-12</t>
        </is>
      </c>
      <c r="C17" t="inlineStr">
        <is>
          <t>resolved</t>
        </is>
      </c>
      <c r="D17" t="inlineStr">
        <is>
          <t>SEB transaction column semantics clarified (Datum, Kontotext, Insattning, Uttag, Saldo) - confirmed sold proceeds 13,558.12 SEK, self-consistent against the running Saldo balance.</t>
        </is>
      </c>
      <c r="E17" t="inlineStr">
        <is>
          <t>2026-07-12</t>
        </is>
      </c>
    </row>
    <row r="18">
      <c r="A18" t="n">
        <v>17</v>
      </c>
      <c r="B18" t="inlineStr">
        <is>
          <t>2026-07-13</t>
        </is>
      </c>
      <c r="C18" t="inlineStr">
        <is>
          <t>resolved</t>
        </is>
      </c>
      <c r="D18" t="inlineStr">
        <is>
          <t>SEB fully sold and settled, final figure 17,382.43 SEK (user-confirmed) - close to the original ~18,000 SEK estimate, not the ~46k SEK a column misread had implied.</t>
        </is>
      </c>
      <c r="E18" t="inlineStr">
        <is>
          <t>2026-07-13</t>
        </is>
      </c>
    </row>
    <row r="19">
      <c r="A19" t="n">
        <v>18</v>
      </c>
      <c r="B19" t="inlineStr">
        <is>
          <t>2026-07-13</t>
        </is>
      </c>
      <c r="C19" t="inlineStr">
        <is>
          <t>resolved</t>
        </is>
      </c>
      <c r="D19" t="inlineStr">
        <is>
          <t>Avanza ISK holdings fully itemized from a live user snapshot - 2 stocks, 2 funds, 1 crypto certificate, plus 565 SEK cash, exact total 36,120 SEK. Prior 15%-single-position-cap concern (18.7% if it were one holding) is moot - no individual holding breaches the cap.</t>
        </is>
      </c>
      <c r="E19" t="inlineStr">
        <is>
          <t>2026-07-13</t>
        </is>
      </c>
    </row>
    <row r="20">
      <c r="A20" t="n">
        <v>19</v>
      </c>
      <c r="B20" t="inlineStr">
        <is>
          <t>2026-07-20</t>
        </is>
      </c>
      <c r="C20" t="inlineStr">
        <is>
          <t>resolved</t>
        </is>
      </c>
      <c r="D20" t="inlineStr">
        <is>
          <t>SEB fund realized gain and tax CONFIRMED from user-supplied 2026 tax-year figures (7 fund lots sold 2026-07-08 to 2026-07-10) - total kapitalvinst 10,124.74 SEK, tax at 30% = 3,037.42 SEK. Materially higher than the earlier ~1,200 SEK placeholder. See seb-fund.confirmed_tax_owed_sek and tax_breakdown_by_fund for the full detail. Consequence: the 9,000 SEK hb-main tax reserve is confirmed short by 2,493.28 SEK against the combined 11,493.28 SEK HB+SEB tax owed - see open question 10.</t>
        </is>
      </c>
      <c r="E20" t="inlineStr">
        <is>
          <t>2026-07-20</t>
        </is>
      </c>
    </row>
    <row r="21">
      <c r="A21" t="n">
        <v>20</v>
      </c>
      <c r="B21" t="inlineStr">
        <is>
          <t>2026-07-22</t>
        </is>
      </c>
      <c r="C21" t="inlineStr">
        <is>
          <t>resolved</t>
        </is>
      </c>
      <c r="D21" t="inlineStr">
        <is>
          <t>SEB per-fund cost basis and sale proceeds obtained (not just the gain figures) - see seb-fund.tax_breakdown_by_fund for full detail, useful for K4 filing.</t>
        </is>
      </c>
      <c r="E21" t="inlineStr">
        <is>
          <t>2026-07-22</t>
        </is>
      </c>
    </row>
    <row r="22">
      <c r="A22" t="n">
        <v>21</v>
      </c>
      <c r="B22" t="inlineStr">
        <is>
          <t>2026-07-22</t>
        </is>
      </c>
      <c r="C22" t="inlineStr">
        <is>
          <t>resolved</t>
        </is>
      </c>
      <c r="D22" t="inlineStr">
        <is>
          <t>Annual fee percentages confirmed from factsheets for all three previously-unknown holdings - Avanza Auto 3 0.39% (0.35% mgmt + ~0.04% transaction), Tundra Sustainable Frontier 2.6% (2.5% mgmt + ~0.1% transaction), COIN-XBT.ST certificate 2.5% (mgmt only, plus a 2% issuer-redemption exit fee that does not apply to ordinary exchange sales). Fee-drag scorecard row is now gradable. Was open question 8.</t>
        </is>
      </c>
      <c r="E22" t="inlineStr">
        <is>
          <t>2026-07-22</t>
        </is>
      </c>
    </row>
    <row r="23">
      <c r="A23" t="n">
        <v>22</v>
      </c>
      <c r="C23" t="inlineStr">
        <is>
          <t>resolved</t>
        </is>
      </c>
      <c r="D23" t="inlineStr">
        <is>
          <t>RESOLVED 2026-07-22 (partially): a thesis now exists for COIN-XBT.ST (user's cycle-position view on BTC generally) - the standing trim-default question (former open question 7) is superseded by a broader certificate-vs-self-custody decision, see open question 13.</t>
        </is>
      </c>
    </row>
    <row r="24">
      <c r="A24" t="n">
        <v>23</v>
      </c>
      <c r="B24" t="inlineStr">
        <is>
          <t>2026-07-22</t>
        </is>
      </c>
      <c r="C24" t="inlineStr">
        <is>
          <t>resolved</t>
        </is>
      </c>
      <c r="D24" t="inlineStr">
        <is>
          <t>Risk-tier framework REVISED to 60/30/10 (from 70/20/10) at user's direction - see investor_profile.json risk_tier_framework_proposed.</t>
        </is>
      </c>
      <c r="E24" t="inlineStr">
        <is>
          <t>2026-07-22</t>
        </is>
      </c>
    </row>
    <row r="25">
      <c r="A25" t="n">
        <v>24</v>
      </c>
      <c r="B25" t="inlineStr">
        <is>
          <t>2026-07-22</t>
        </is>
      </c>
      <c r="C25" t="inlineStr">
        <is>
          <t>resolved</t>
        </is>
      </c>
      <c r="D25" t="inlineStr">
        <is>
          <t>Open question 14 (Tundra Sustainable Frontier) - user decided to SELL in full (2.6% fee unjustifiable). Tax-free inside ISK. Proceeds recycle to secure tier. See the Tundra holding thesis. Awaiting execution.</t>
        </is>
      </c>
      <c r="E25" t="inlineStr">
        <is>
          <t>2026-07-22</t>
        </is>
      </c>
    </row>
    <row r="26">
      <c r="A26" t="n">
        <v>25</v>
      </c>
      <c r="B26" t="inlineStr">
        <is>
          <t>2026-07-22</t>
        </is>
      </c>
      <c r="C26" t="inlineStr">
        <is>
          <t>resolved</t>
        </is>
      </c>
      <c r="D26" t="inlineStr">
        <is>
          <t>Open question 15 (equity/fixed-income split) - user directed near-zero fixed income and explicitly accepts total equity &gt;70% ('the push of equity above 70% is fine'). The 50/40 equity/FI glidepath target is superseded by the tier framework; any ballast should be a very small short-duration/money-market sleeve, not traditional bonds. See investor_profile.json risk_tier_framework_proposed.fixed_income_stance. NOTE: this spawned new open question 16 (how to fill the 30% medium tier).</t>
        </is>
      </c>
      <c r="E26" t="inlineStr">
        <is>
          <t>2026-07-22</t>
        </is>
      </c>
    </row>
    <row r="27">
      <c r="A27" t="n">
        <v>26</v>
      </c>
      <c r="B27" t="inlineStr">
        <is>
          <t>2026-07-22</t>
        </is>
      </c>
      <c r="C27" t="inlineStr">
        <is>
          <t>resolved</t>
        </is>
      </c>
      <c r="D27" t="inlineStr">
        <is>
          <t>Medium-tier fill (open Q16) - user chose PHASE-IN (option b): park the intended ~59,050 SEK in the Avanza Global secure core now, migrate into individual stocks one vetted position at a time (tax-free in ISK). 30% target stands; timing phased. Q16 reworded to track the migration.</t>
        </is>
      </c>
      <c r="E27" t="inlineStr">
        <is>
          <t>2026-07-22</t>
        </is>
      </c>
    </row>
    <row r="28">
      <c r="A28" t="n">
        <v>27</v>
      </c>
      <c r="B28" t="inlineStr">
        <is>
          <t>2026-07-22</t>
        </is>
      </c>
      <c r="C28" t="inlineStr">
        <is>
          <t>resolved</t>
        </is>
      </c>
      <c r="D28" t="inlineStr">
        <is>
          <t>Crypto cap - user chose HOLD / SOFT-CAP (REVERSED an earlier same-day trim decision): will NOT sell any bitcoin for now, explicitly accepts crypto staying above the 10% cap (~14.2%) in favour of the active BTC thesis. Dilute back toward 10% via contributions/deployment routing rather than a sale; revisit a trim only if crypto appreciates materially further. Certificate-vs-self-custody (open Q13): keep retained BTC in the ISK certificate for now (tax shelter beats the 2.5% fee at this size/horizon). See COIN-XBT.ST holding.</t>
        </is>
      </c>
      <c r="E28" t="inlineStr">
        <is>
          <t>2026-07-22</t>
        </is>
      </c>
    </row>
    <row r="29">
      <c r="A29" t="n">
        <v>28</v>
      </c>
      <c r="B29" t="inlineStr">
        <is>
          <t>2026-07-29</t>
        </is>
      </c>
      <c r="C29" t="inlineStr">
        <is>
          <t>resolved</t>
        </is>
      </c>
      <c r="D29" t="inlineStr">
        <is>
          <t>Tundra Sustainable Frontier SALE EXECUTED - 1,534.86 SEK proceeds confirmed by user (vs. 1,563 SEK stale estimate), tax-free in ISK. Quantity now 0. See the Tundra holding.</t>
        </is>
      </c>
      <c r="E29" t="inlineStr">
        <is>
          <t>2026-07-29</t>
        </is>
      </c>
    </row>
    <row r="30">
      <c r="A30" t="n">
        <v>29</v>
      </c>
      <c r="B30" t="inlineStr">
        <is>
          <t>2026-07-29</t>
        </is>
      </c>
      <c r="C30" t="inlineStr">
        <is>
          <t>resolved</t>
        </is>
      </c>
      <c r="D30" t="inlineStr">
        <is>
          <t>Avanza Global purchase EXECUTED for 119,999 SEK - user flagged this had NOT been logged despite being mentioned days earlier; portfolio.json now reflects it as a settled holding, and a new `pending_executions` tracker was added so future committed-but-unsettled trades (Visa, Schneider) don't repeat this gap. See the Avanza Global holding and IMPROVEMENTS #14.</t>
        </is>
      </c>
      <c r="E30" t="inlineStr">
        <is>
          <t>2026-07-29</t>
        </is>
      </c>
    </row>
    <row r="31">
      <c r="A31" t="n">
        <v>30</v>
      </c>
      <c r="B31" t="inlineStr">
        <is>
          <t>2026-07-29</t>
        </is>
      </c>
      <c r="C31" t="inlineStr">
        <is>
          <t>resolved</t>
        </is>
      </c>
      <c r="D31" t="inlineStr">
        <is>
          <t>avanza-isk cash RECONCILED to 26,399.86 SEK (144,864 prior confirmed cash - 119,999 Avanza Global purchase + 1,534.86 Tundra proceeds) - a computed figure the user should verify at next login.</t>
        </is>
      </c>
      <c r="E31" t="inlineStr">
        <is>
          <t>2026-07-29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>
      <c r="A1" s="7" t="inlineStr">
        <is>
          <t>ticker</t>
        </is>
      </c>
      <c r="B1" s="7" t="inlineStr">
        <is>
          <t>last_price</t>
        </is>
      </c>
      <c r="C1" s="7" t="inlineStr">
        <is>
          <t>currency</t>
        </is>
      </c>
      <c r="D1" s="7" t="inlineStr">
        <is>
          <t>price_as_of</t>
        </is>
      </c>
      <c r="E1" s="7" t="inlineStr">
        <is>
          <t>market_value_sek</t>
        </is>
      </c>
      <c r="F1" s="7" t="inlineStr">
        <is>
          <t>fetch_status</t>
        </is>
      </c>
      <c r="G1" s="7" t="inlineStr">
        <is>
          <t>data_source</t>
        </is>
      </c>
    </row>
    <row r="2">
      <c r="A2" t="inlineStr">
        <is>
          <t>CASH_SEK</t>
        </is>
      </c>
      <c r="B2" t="n">
        <v>1</v>
      </c>
      <c r="C2" t="inlineStr">
        <is>
          <t>SEK</t>
        </is>
      </c>
      <c r="D2" t="inlineStr">
        <is>
          <t>2026-08-01T07:58:06.876265+00:00</t>
        </is>
      </c>
      <c r="F2" t="inlineStr">
        <is>
          <t>N/A</t>
        </is>
      </c>
      <c r="G2" t="inlineStr">
        <is>
          <t>cash</t>
        </is>
      </c>
    </row>
    <row r="3">
      <c r="A3" t="inlineStr">
        <is>
          <t>SHB-A.ST</t>
        </is>
      </c>
      <c r="B3" t="n">
        <v>144.1499938964844</v>
      </c>
      <c r="C3" t="inlineStr">
        <is>
          <t>SEK</t>
        </is>
      </c>
      <c r="D3" t="inlineStr">
        <is>
          <t>2026-08-01T07:58:06.876265+00:00</t>
        </is>
      </c>
      <c r="E3" t="n">
        <v>144.1499938964844</v>
      </c>
      <c r="F3" t="inlineStr">
        <is>
          <t>OK (price only)</t>
        </is>
      </c>
      <c r="G3" t="inlineStr">
        <is>
          <t>yahoo_chart_v8 (fallback — quoteSummary/yfinance unavailable)</t>
        </is>
      </c>
    </row>
    <row r="4">
      <c r="A4" t="inlineStr">
        <is>
          <t>INVE-A.ST</t>
        </is>
      </c>
      <c r="B4" t="n">
        <v>401.7999877929688</v>
      </c>
      <c r="C4" t="inlineStr">
        <is>
          <t>SEK</t>
        </is>
      </c>
      <c r="D4" t="inlineStr">
        <is>
          <t>2026-08-01T07:58:06.876265+00:00</t>
        </is>
      </c>
      <c r="E4" t="n">
        <v>401.7999877929688</v>
      </c>
      <c r="F4" t="inlineStr">
        <is>
          <t>OK (price only)</t>
        </is>
      </c>
      <c r="G4" t="inlineStr">
        <is>
          <t>yahoo_chart_v8 (fallback — quoteSummary/yfinance unavailable)</t>
        </is>
      </c>
    </row>
    <row r="5">
      <c r="A5" t="inlineStr">
        <is>
          <t>TBD-Avanza Auto 3 (fund)</t>
        </is>
      </c>
      <c r="E5" t="n">
        <v>9800.299999999999</v>
      </c>
      <c r="F5" t="inlineStr">
        <is>
          <t>N/A (permanent)</t>
        </is>
      </c>
      <c r="G5" t="inlineStr">
        <is>
          <t>unlisted_fund</t>
        </is>
      </c>
    </row>
    <row r="6">
      <c r="A6" t="inlineStr">
        <is>
          <t>TBD-Tundra Sustainable Frontier Fund A SEK</t>
        </is>
      </c>
      <c r="E6" t="n">
        <v>1000</v>
      </c>
      <c r="F6" t="inlineStr">
        <is>
          <t>N/A</t>
        </is>
      </c>
      <c r="G6" t="inlineStr">
        <is>
          <t>unlisted_fund</t>
        </is>
      </c>
    </row>
    <row r="7">
      <c r="A7" t="inlineStr">
        <is>
          <t>COIN-XBT.ST</t>
        </is>
      </c>
      <c r="D7" t="inlineStr">
        <is>
          <t>2026-08-01T07:58:06.876265+00:00</t>
        </is>
      </c>
      <c r="F7" t="inlineStr">
        <is>
          <t>ERROR</t>
        </is>
      </c>
      <c r="G7" t="inlineStr">
        <is>
          <t>yfinance</t>
        </is>
      </c>
    </row>
    <row r="8">
      <c r="A8" t="inlineStr">
        <is>
          <t>TBD-Avanza Global (fund)</t>
        </is>
      </c>
      <c r="E8" t="n">
        <v>119999</v>
      </c>
      <c r="F8" t="inlineStr">
        <is>
          <t>N/A (permanent)</t>
        </is>
      </c>
      <c r="G8" t="inlineStr">
        <is>
          <t>unlisted_fund</t>
        </is>
      </c>
    </row>
    <row r="9">
      <c r="A9" t="inlineStr">
        <is>
          <t>TBD-Swedbank fund</t>
        </is>
      </c>
      <c r="F9" t="inlineStr">
        <is>
          <t>N/A (permanent)</t>
        </is>
      </c>
      <c r="G9" t="inlineStr">
        <is>
          <t>unlisted_fund</t>
        </is>
      </c>
    </row>
    <row r="10">
      <c r="A10" t="inlineStr">
        <is>
          <t>ethereum</t>
        </is>
      </c>
      <c r="B10" t="n">
        <v>1619.14</v>
      </c>
      <c r="C10" t="inlineStr">
        <is>
          <t>EUR</t>
        </is>
      </c>
      <c r="D10" t="inlineStr">
        <is>
          <t>2026-08-01T07:58:06.876265+00:00</t>
        </is>
      </c>
      <c r="F10" t="inlineStr">
        <is>
          <t>OK</t>
        </is>
      </c>
      <c r="G10" t="inlineStr">
        <is>
          <t>coingecko</t>
        </is>
      </c>
    </row>
    <row r="11">
      <c r="A11" t="inlineStr">
        <is>
          <t>CASH_USD</t>
        </is>
      </c>
      <c r="B11" t="n">
        <v>1</v>
      </c>
      <c r="C11" t="inlineStr">
        <is>
          <t>USD</t>
        </is>
      </c>
      <c r="D11" t="inlineStr">
        <is>
          <t>2026-08-01T07:58:06.876265+00:00</t>
        </is>
      </c>
      <c r="F11" t="inlineStr">
        <is>
          <t>N/A</t>
        </is>
      </c>
      <c r="G11" t="inlineStr">
        <is>
          <t>cash</t>
        </is>
      </c>
    </row>
    <row r="12">
      <c r="A12" t="inlineStr">
        <is>
          <t>CASH_EUR</t>
        </is>
      </c>
      <c r="B12" t="n">
        <v>1</v>
      </c>
      <c r="C12" t="inlineStr">
        <is>
          <t>EUR</t>
        </is>
      </c>
      <c r="D12" t="inlineStr">
        <is>
          <t>2026-08-01T07:58:06.876265+00:00</t>
        </is>
      </c>
      <c r="F12" t="inlineStr">
        <is>
          <t>N/A</t>
        </is>
      </c>
      <c r="G1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2026-08-01T07:43:27Z</dcterms:created>
  <dcterms:modified xsi:type="dcterms:W3CDTF">2026-08-01T07:58:21Z</dcterms:modified>
</cp:coreProperties>
</file>